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9fab3c8d9841f9" /></Relationships>
</file>

<file path=xl/workbook.xml><?xml version="1.0" encoding="utf-8"?>
<x:workbook xmlns:x="http://schemas.openxmlformats.org/spreadsheetml/2006/main">
  <x:sheets>
    <x:sheet xmlns:r="http://schemas.openxmlformats.org/officeDocument/2006/relationships" name="Adjudication Form" sheetId="1" r:id="Ra92c7eb6829c4856"/>
    <x:sheet xmlns:r="http://schemas.openxmlformats.org/officeDocument/2006/relationships" name="Instructions" sheetId="2" r:id="R936723c99a3f414b"/>
    <x:sheet xmlns:r="http://schemas.openxmlformats.org/officeDocument/2006/relationships" name="Field Rules" sheetId="3" r:id="R613c749dffed4391"/>
    <x:sheet xmlns:r="http://schemas.openxmlformats.org/officeDocument/2006/relationships" name="QC" sheetId="4" r:id="R3db2224faef4451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5">
    <x:fill>
      <x:patternFill patternType="none"/>
    </x:fill>
    <x:fill>
      <x:patternFill patternType="gray125"/>
    </x:fill>
    <x:fill>
      <x:patternFill patternType="solid">
        <x:fgColor rgb="FF17324D"/>
      </x:patternFill>
    </x:fill>
    <x:fill>
      <x:patternFill patternType="solid">
        <x:fgColor rgb="FFFFF7D6"/>
      </x:patternFill>
    </x:fill>
    <x:fill>
      <x:patternFill patternType="solid">
        <x:fgColor rgb="FFE8F1F8"/>
      </x:patternFill>
    </x:fill>
  </x:fills>
  <x:borders count="10">
    <x:border/>
    <x:border>
      <x:right style="thin">
        <x:color rgb="FFD9E2EC"/>
      </x:right>
      <x:bottom style="thin">
        <x:color rgb="FFD9E2EC"/>
      </x:bottom>
    </x:border>
    <x:border>
      <x:left style="thin">
        <x:color rgb="FFD9E2EC"/>
      </x:left>
      <x:right style="thin">
        <x:color rgb="FFD9E2EC"/>
      </x:right>
      <x:bottom style="thin">
        <x:color rgb="FFD9E2EC"/>
      </x:bottom>
    </x:border>
    <x:border>
      <x:left style="thin">
        <x:color rgb="FFD9E2EC"/>
      </x:left>
      <x:bottom style="thin">
        <x:color rgb="FFD9E2EC"/>
      </x:bottom>
    </x:border>
    <x:border>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right style="thin">
        <x:color rgb="FFD9E2EC"/>
      </x:right>
      <x:top style="thin">
        <x:color rgb="FFD9E2EC"/>
      </x:top>
    </x:border>
    <x:border>
      <x:left style="thin">
        <x:color rgb="FFD9E2EC"/>
      </x:left>
      <x:right style="thin">
        <x:color rgb="FFD9E2EC"/>
      </x:right>
      <x:top style="thin">
        <x:color rgb="FFD9E2EC"/>
      </x:top>
    </x:border>
    <x:border>
      <x:left style="thin">
        <x:color rgb="FFD9E2EC"/>
      </x:left>
      <x:top style="thin">
        <x:color rgb="FFD9E2EC"/>
      </x:top>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3" borderId="5" xfId="0" applyNumberFormat="1" applyFont="1" applyFill="1" applyBorder="1" applyAlignment="1">
      <x:alignment vertical="top" wrapText="1"/>
    </x:xf>
    <x:xf numFmtId="0" fontId="0" fillId="3" borderId="8"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971def607e44f8" /><Relationship Type="http://schemas.openxmlformats.org/officeDocument/2006/relationships/theme" Target="/xl/theme/theme1.xml" Id="R7e4d0b23cb53430b" /><Relationship Type="http://schemas.openxmlformats.org/officeDocument/2006/relationships/sharedStrings" Target="/xl/sharedStrings.xml" Id="R1026e258b4f34f42" /><Relationship Type="http://schemas.openxmlformats.org/officeDocument/2006/relationships/worksheet" Target="/xl/worksheets/sheet1.xml" Id="Ra92c7eb6829c4856" /><Relationship Type="http://schemas.openxmlformats.org/officeDocument/2006/relationships/worksheet" Target="/xl/worksheets/sheet2.xml" Id="R936723c99a3f414b" /><Relationship Type="http://schemas.openxmlformats.org/officeDocument/2006/relationships/worksheet" Target="/xl/worksheets/sheet3.xml" Id="R613c749dffed4391" /><Relationship Type="http://schemas.openxmlformats.org/officeDocument/2006/relationships/worksheet" Target="/xl/worksheets/sheet4.xml" Id="R3db2224faef4451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2" hidden="0" customWidth="1"/>
    <x:col min="3" max="3" width="18" hidden="0" customWidth="1"/>
    <x:col min="4" max="4" width="42" hidden="0" customWidth="1"/>
    <x:col min="5" max="5" width="28" hidden="0" customWidth="1"/>
    <x:col min="6" max="6" width="14" hidden="0" customWidth="1"/>
    <x:col min="7" max="7" width="28" hidden="0" customWidth="1"/>
    <x:col min="8" max="8" width="28" hidden="0" customWidth="1"/>
    <x:col min="9" max="9" width="22" hidden="0" customWidth="1"/>
    <x:col min="10" max="10" width="55" hidden="0" customWidth="1"/>
    <x:col min="11" max="11" width="70" hidden="0" customWidth="1"/>
    <x:col min="12" max="12" width="52" hidden="0" customWidth="1"/>
    <x:col min="13" max="13" width="62" hidden="0" customWidth="1"/>
    <x:col min="14" max="14" width="32" hidden="0" customWidth="1"/>
    <x:col min="15" max="15" width="42" hidden="0" customWidth="1"/>
    <x:col min="16" max="16" width="48" hidden="0" customWidth="1"/>
    <x:col min="17" max="17" width="14" hidden="0" customWidth="1"/>
    <x:col min="18" max="18" width="18" hidden="0" customWidth="1"/>
    <x:col min="19" max="19" width="14" hidden="0" customWidth="1"/>
    <x:col min="20" max="20" width="14" hidden="0" customWidth="1"/>
  </x:cols>
  <x:sheetData>
    <x:row r="1" ht="44" customHeight="1">
      <x:c r="A1" s="7" t="str">
        <x:v>disagreement_id</x:v>
      </x:c>
      <x:c r="B1" s="8" t="str">
        <x:v>record_id</x:v>
      </x:c>
      <x:c r="C1" s="8" t="str">
        <x:v>cohort</x:v>
      </x:c>
      <x:c r="D1" s="8" t="str">
        <x:v>title</x:v>
      </x:c>
      <x:c r="E1" s="8" t="str">
        <x:v>field</x:v>
      </x:c>
      <x:c r="F1" s="8" t="str">
        <x:v>field_type</x:v>
      </x:c>
      <x:c r="G1" s="8" t="str">
        <x:v>coder_x_label</x:v>
      </x:c>
      <x:c r="H1" s="8" t="str">
        <x:v>coder_y_label</x:v>
      </x:c>
      <x:c r="I1" s="8" t="str">
        <x:v>evidence_status</x:v>
      </x:c>
      <x:c r="J1" s="8" t="str">
        <x:v>evidence_location_lead</x:v>
      </x:c>
      <x:c r="K1" s="8" t="str">
        <x:v>evidence_excerpt_lead</x:v>
      </x:c>
      <x:c r="L1" s="8" t="str">
        <x:v>evidence_summary</x:v>
      </x:c>
      <x:c r="M1" s="8" t="str">
        <x:v>codebook_rule</x:v>
      </x:c>
      <x:c r="N1" s="8" t="str">
        <x:v>human_final_label</x:v>
      </x:c>
      <x:c r="O1" s="8" t="str">
        <x:v>brief_reason</x:v>
      </x:c>
      <x:c r="P1" s="8" t="str">
        <x:v>evidence_location_verified</x:v>
      </x:c>
      <x:c r="Q1" s="8" t="str">
        <x:v>unresolved</x:v>
      </x:c>
      <x:c r="R1" s="8" t="str">
        <x:v>reviewer_initials</x:v>
      </x:c>
      <x:c r="S1" s="8" t="str">
        <x:v>review_date</x:v>
      </x:c>
      <x:c r="T1" s="9" t="str">
        <x:v>row_status</x:v>
      </x:c>
    </x:row>
    <x:row r="2" ht="44" customHeight="1">
      <x:c r="A2" s="10" t="str">
        <x:v>C01__lifecycle</x:v>
      </x:c>
      <x:c r="B2" s="11" t="str">
        <x:v>C01</x:v>
      </x:c>
      <x:c r="C2" s="11" t="str">
        <x:v>released_67</x:v>
      </x:c>
      <x:c r="D2" s="11" t="str">
        <x:v>UniFuzz: a unified fuzzing framework for smart contract vulnerability detection with LLMs and audit report</x:v>
      </x:c>
      <x:c r="E2" s="11" t="str">
        <x:v>lifecycle coverage</x:v>
      </x:c>
      <x:c r="F2" s="11" t="str">
        <x:v>multi-label</x:v>
      </x:c>
      <x:c r="G2" s="11" t="str">
        <x:v>candidate analysis;execution observation;path and input exploration</x:v>
      </x:c>
      <x:c r="H2" s="11" t="str">
        <x:v>candidate analysis;execution observation;path and input exploration;reporting and audit</x:v>
      </x:c>
      <x:c r="I2" s="11" t="str">
        <x:v>source-linked lead</x:v>
      </x:c>
      <x:c r="J2" s="11" t="str">
        <x:v>urn:isbn:979-8-3315-6687-6 | Paper pp. 1–3 (Abstract, architecture/workflow) and pp. 4–6 (evaluation, Fig. 2 and vulnerability/coverage results). | excerpt pages 1</x:v>
      </x:c>
      <x:c r="K2" s="11" t="str">
        <x:v>[p.1] Moreover, existing methods rely on fixed rule-based strategies without leveraging external security knowledge from audit reports. [p.1] UniFuzz employs Large Language Models (LLMs) for deep semantic analysis and targeted test input generation, guided by insights from real-world audit reports and coordinated through specialized agents.</x:v>
      </x:c>
      <x:c r="L2" s="16" t="str">
        <x:v>A source-linked excerpt and locator are supplied as review leads; the cited source and locator should be retained for auditability.</x:v>
      </x:c>
      <x:c r="M2" s="16" t="str">
        <x:v>Mark only observable lifecycle actions or outputs. Reporting and audit requires explicit packaging, routing, disclosure, or audit transition; a report name alone is insufficient.</x:v>
      </x:c>
      <x:c r="N2" s="16" t="str">
        <x:v>candidate analysis;path and input exploration;execution observation</x:v>
      </x:c>
      <x:c r="O2" s="16" t="str">
        <x:v>The cited source supports the selected label candidate analysis;path and input exploration;execution observation; only observable workflow actions or outputs were retained.</x:v>
      </x:c>
      <x:c r="P2" s="16" t="str">
        <x:v>urn:isbn:979-8-3315-6687-6 | Paper pp. 1–3 (Abstract, architecture/workflow) and pp. 4–6 (evaluation, Fig. 2 and vulnerability/coverage results). | excerpt pages 1</x:v>
      </x:c>
      <x:c r="Q2" s="16" t="str">
        <x:v>no</x:v>
      </x:c>
      <x:c r="R2" s="11" t="str"/>
      <x:c r="S2" s="11" t="str">
        <x:v>2026-08-12</x:v>
      </x:c>
      <x:c r="T2" s="18" t="str">
        <x:f>IF(OR(AND(N2="unresolved",LEN(O2)&gt;0,LEN(P2)&gt;0,Q2="yes"),AND(LEN(N2)&gt;0,LEN(O2)&gt;0,LEN(P2)&gt;0,OR(Q2="yes",Q2="no"))),"ready","pending")</x:f>
        <x:v>ready</x:v>
      </x:c>
    </x:row>
    <x:row r="3" ht="44" customHeight="1">
      <x:c r="A3" s="10" t="str">
        <x:v>C01__capability</x:v>
      </x:c>
      <x:c r="B3" s="11" t="str">
        <x:v>C01</x:v>
      </x:c>
      <x:c r="C3" s="11" t="str">
        <x:v>released_67</x:v>
      </x:c>
      <x:c r="D3" s="11" t="str">
        <x:v>UniFuzz: a unified fuzzing framework for smart contract vulnerability detection with LLMs and audit report</x:v>
      </x:c>
      <x:c r="E3" s="11" t="str">
        <x:v>cross-stage capability</x:v>
      </x:c>
      <x:c r="F3" s="11" t="str">
        <x:v>multi-label</x:v>
      </x:c>
      <x:c r="G3" s="11" t="str">
        <x:v>context aggregation / rule extraction;feedback interpretation / loop adjustment;tool routing / strategy routing;validation organization / evidence packaging</x:v>
      </x:c>
      <x:c r="H3" s="11" t="str">
        <x:v>feedback interpretation / loop adjustment;validation organization / evidence packaging</x:v>
      </x:c>
      <x:c r="I3" s="11" t="str">
        <x:v>source-linked lead</x:v>
      </x:c>
      <x:c r="J3" s="11" t="str">
        <x:v>urn:isbn:979-8-3315-6687-6 | Paper pp. 1–3 (Abstract, architecture/workflow) and pp. 4–6 (evaluation, Fig. 2 and vulnerability/coverage results). | excerpt pages 6, 1</x:v>
      </x:c>
      <x:c r="K3" s="11" t="str">
        <x:v>[p.6] UniFuzz integrates three key innovations: multi-layer semantic analysis combining static, dataflow, and LLM-based under- standing; RAG-enhanced parameter generation leveraging au- dit knowledge; and collaborative multi-agent coordination with adaptive strategy selection. [p.1] Moreover, existing methods rely on fixed rule-based strategies without leveraging external security knowledge from audit reports.</x:v>
      </x:c>
      <x:c r="L3" s="16" t="str">
        <x:v>A source-linked excerpt and locator are supplied as review leads; the cited source and locator should be retained for auditability.</x:v>
      </x:c>
      <x:c r="M3" s="16" t="str">
        <x:v>Require an explicit cross-stage connection. Information must guide later action; feedback must alter later action; packaging must assemble prior outputs; governance must enforce an actual gate.</x:v>
      </x:c>
      <x:c r="N3" s="16" t="str">
        <x:v>context aggregation / rule extraction;tool routing / strategy routing;feedback interpretation / loop adjustment;validation organization / evidence packaging</x:v>
      </x:c>
      <x:c r="O3" s="16" t="str">
        <x:v>The cited source supports the selected label context aggregation / rule extraction;tool routing / strategy routing;feedback interpretation / loop adjustment;validation organization / evidence packaging; each retained label requires an explicit connection that guides later action, feedback, packaging, or a gate.</x:v>
      </x:c>
      <x:c r="P3" s="16" t="str">
        <x:v>urn:isbn:979-8-3315-6687-6 | Paper pp. 1–3 (Abstract, architecture/workflow) and pp. 4–6 (evaluation, Fig. 2 and vulnerability/coverage results). | excerpt pages 6, 1</x:v>
      </x:c>
      <x:c r="Q3" s="16" t="str">
        <x:v>no</x:v>
      </x:c>
      <x:c r="R3" s="11" t="str"/>
      <x:c r="S3" s="11" t="str">
        <x:v>2026-08-12</x:v>
      </x:c>
      <x:c r="T3" s="18" t="str">
        <x:f>IF(OR(AND(N3="unresolved",LEN(O3)&gt;0,LEN(P3)&gt;0,Q3="yes"),AND(LEN(N3)&gt;0,LEN(O3)&gt;0,LEN(P3)&gt;0,OR(Q3="yes",Q3="no"))),"ready","pending")</x:f>
        <x:v>ready</x:v>
      </x:c>
    </x:row>
    <x:row r="4" ht="44" customHeight="1">
      <x:c r="A4" s="10" t="str">
        <x:v>C02__lifecycle</x:v>
      </x:c>
      <x:c r="B4" s="11" t="str">
        <x:v>C02</x:v>
      </x:c>
      <x:c r="C4" s="11" t="str">
        <x:v>released_67</x:v>
      </x:c>
      <x:c r="D4" s="11" t="str">
        <x:v>ReForge: a customizable AI-driven framework for end-to-end exploit generation and analysis</x:v>
      </x:c>
      <x:c r="E4" s="11" t="str">
        <x:v>lifecycle coverage</x:v>
      </x:c>
      <x:c r="F4" s="11" t="str">
        <x:v>multi-label</x:v>
      </x:c>
      <x:c r="G4" s="11" t="str">
        <x:v>execution observation;reporting and audit;reproduction and validation</x:v>
      </x:c>
      <x:c r="H4" s="11" t="str">
        <x:v>candidate analysis;execution observation;path and input exploration;reporting and audit;reproduction and validation</x:v>
      </x:c>
      <x:c r="I4" s="11" t="str">
        <x:v>source-linked lead</x:v>
      </x:c>
      <x:c r="J4" s="11" t="str">
        <x:v>urn:isbn:979-8-3315-5397-5 | Paper pp. 1–3 (pipeline and feedback loop), pp. 4–5 (evaluation and Listings 1–2), and p. 6 (conclusion). | excerpt pages 1</x:v>
      </x:c>
      <x:c r="K4" s="11" t="str">
        <x:v>[p.1] Automated fuzzers like AFL++ leverage coverage-guided mu- tation to efficiently explore code paths and uncover previously unknown vulnerabilities. [p.1] ReForge consists of three core components linked by a lightweight MCP server: (1) AFL++, which fuzzes the target binary and produces crash–triggering inputs; (2) AI-ExploitGen, an LLM-driven agent that ingests each crash file plus the instrumented binary via the MCP, then itera- tively generates and refines Python PoC exploits; and (3) AI-Analyzer, a second LLM-driven agent that analyzes suc- cessful exploits, classifies the underlying vulnerability, and emits a human-readable report.</x:v>
      </x:c>
      <x:c r="L4" s="16" t="str">
        <x:v>A source-linked excerpt and locator are supplied as review leads; the cited source and locator should be retained for auditability.</x:v>
      </x:c>
      <x:c r="M4" s="16" t="str">
        <x:v>Mark only observable lifecycle actions or outputs. Reporting and audit requires explicit packaging, routing, disclosure, or audit transition; a report name alone is insufficient.</x:v>
      </x:c>
      <x:c r="N4" s="16" t="str">
        <x:v>execution observation;reproduction and validation;reporting and audit</x:v>
      </x:c>
      <x:c r="O4" s="16" t="str">
        <x:v>The cited source supports the selected label execution observation;reproduction and validation;reporting and audit; only observable workflow actions or outputs were retained.</x:v>
      </x:c>
      <x:c r="P4" s="16" t="str">
        <x:v>urn:isbn:979-8-3315-5397-5 | Paper pp. 1–3 (pipeline and feedback loop), pp. 4–5 (evaluation and Listings 1–2), and p. 6 (conclusion). | excerpt pages 1</x:v>
      </x:c>
      <x:c r="Q4" s="16" t="str">
        <x:v>no</x:v>
      </x:c>
      <x:c r="R4" s="11" t="str"/>
      <x:c r="S4" s="11" t="str">
        <x:v>2026-08-12</x:v>
      </x:c>
      <x:c r="T4" s="18" t="str">
        <x:f>IF(OR(AND(N4="unresolved",LEN(O4)&gt;0,LEN(P4)&gt;0,Q4="yes"),AND(LEN(N4)&gt;0,LEN(O4)&gt;0,LEN(P4)&gt;0,OR(Q4="yes",Q4="no"))),"ready","pending")</x:f>
        <x:v>ready</x:v>
      </x:c>
    </x:row>
    <x:row r="5" ht="44" customHeight="1">
      <x:c r="A5" s="10" t="str">
        <x:v>C02__capability</x:v>
      </x:c>
      <x:c r="B5" s="11" t="str">
        <x:v>C02</x:v>
      </x:c>
      <x:c r="C5" s="11" t="str">
        <x:v>released_67</x:v>
      </x:c>
      <x:c r="D5" s="11" t="str">
        <x:v>ReForge: a customizable AI-driven framework for end-to-end exploit generation and analysis</x:v>
      </x:c>
      <x:c r="E5" s="11" t="str">
        <x:v>cross-stage capability</x:v>
      </x:c>
      <x:c r="F5" s="11" t="str">
        <x:v>multi-label</x:v>
      </x:c>
      <x:c r="G5" s="11" t="str">
        <x:v>feedback interpretation / loop adjustment;tool routing / strategy routing;validation organization / evidence packaging</x:v>
      </x:c>
      <x:c r="H5" s="11" t="str">
        <x:v>feedback interpretation / loop adjustment;validation organization / evidence packaging</x:v>
      </x:c>
      <x:c r="I5" s="11" t="str">
        <x:v>source-linked lead</x:v>
      </x:c>
      <x:c r="J5" s="11" t="str">
        <x:v>urn:isbn:979-8-3315-5397-5 | Paper pp. 1–3 (pipeline and feedback loop), pp. 4–5 (evaluation and Listings 1–2), and p. 6 (conclusion). | excerpt pages 1</x:v>
      </x:c>
      <x:c r="K5" s="11" t="str">
        <x:v>[p.1] Some examples of these tools are presented as follows. [p.1] These tools either op- erate at a higher protocol layer, require manual intervention to triage crashes, or are constrained to specific domains (e.g. blockchain, Java libraries, heap contexts).</x:v>
      </x:c>
      <x:c r="L5" s="16" t="str">
        <x:v>A source-linked excerpt and locator are supplied as review leads; the cited source and locator should be retained for auditability.</x:v>
      </x:c>
      <x:c r="M5" s="16" t="str">
        <x:v>Require an explicit cross-stage connection. Information must guide later action; feedback must alter later action; packaging must assemble prior outputs; governance must enforce an actual gate.</x:v>
      </x:c>
      <x:c r="N5" s="16" t="str">
        <x:v>tool routing / strategy routing;feedback interpretation / loop adjustment;validation organization / evidence packaging</x:v>
      </x:c>
      <x:c r="O5" s="16" t="str">
        <x:v>The cited source supports the selected label tool routing / strategy routing;feedback interpretation / loop adjustment;validation organization / evidence packaging; each retained label requires an explicit connection that guides later action, feedback, packaging, or a gate.</x:v>
      </x:c>
      <x:c r="P5" s="16" t="str">
        <x:v>urn:isbn:979-8-3315-5397-5 | Paper pp. 1–3 (pipeline and feedback loop), pp. 4–5 (evaluation and Listings 1–2), and p. 6 (conclusion). | excerpt pages 1</x:v>
      </x:c>
      <x:c r="Q5" s="16" t="str">
        <x:v>no</x:v>
      </x:c>
      <x:c r="R5" s="11" t="str"/>
      <x:c r="S5" s="11" t="str">
        <x:v>2026-08-12</x:v>
      </x:c>
      <x:c r="T5" s="18" t="str">
        <x:f>IF(OR(AND(N5="unresolved",LEN(O5)&gt;0,LEN(P5)&gt;0,Q5="yes"),AND(LEN(N5)&gt;0,LEN(O5)&gt;0,LEN(P5)&gt;0,OR(Q5="yes",Q5="no"))),"ready","pending")</x:f>
        <x:v>ready</x:v>
      </x:c>
    </x:row>
    <x:row r="6" ht="44" customHeight="1">
      <x:c r="A6" s="10" t="str">
        <x:v>C02__external_traceability</x:v>
      </x:c>
      <x:c r="B6" s="11" t="str">
        <x:v>C02</x:v>
      </x:c>
      <x:c r="C6" s="11" t="str">
        <x:v>released_67</x:v>
      </x:c>
      <x:c r="D6" s="11" t="str">
        <x:v>ReForge: a customizable AI-driven framework for end-to-end exploit generation and analysis</x:v>
      </x:c>
      <x:c r="E6" s="11" t="str">
        <x:v>external traceability</x:v>
      </x:c>
      <x:c r="F6" s="11" t="str">
        <x:v>single-label</x:v>
      </x:c>
      <x:c r="G6" s="11" t="str">
        <x:v>no external trace reported</x:v>
      </x:c>
      <x:c r="H6" s="11" t="str">
        <x:v>benchmark ground truth / public material</x:v>
      </x:c>
      <x:c r="I6" s="11" t="str">
        <x:v>source-linked lead</x:v>
      </x:c>
      <x:c r="J6" s="11" t="str">
        <x:v>urn:isbn:979-8-3315-5397-5 | Paper pp. 1–3 (pipeline and feedback loop), pp. 4–5 (evaluation and Listings 1–2), and p. 6 (conclusion). | excerpt pages 4, 1</x:v>
      </x:c>
      <x:c r="K6" s="11" t="str">
        <x:v>[p.4] The binaries included both well-known vulnerabilities from public CVEs and custom vulnerable programs that we created for controlled study. [p.1] All code, data, and models required to reproduce our experiments are publicly avail- able on GitHub at https://github.com/Sohan245/ReForge.</x:v>
      </x:c>
      <x:c r="L6" s="16" t="str">
        <x:v>A source-linked excerpt and locator are supplied as review leads; the cited source and locator should be retained for auditability.</x:v>
      </x:c>
      <x:c r="M6" s="16" t="str">
        <x:v>Code separately from principal output. Only item-level alignment between a concrete system result and a specific public external record qualifies as publicly aligned external trace.</x:v>
      </x:c>
      <x:c r="N6" s="16" t="str">
        <x:v>no external trace reported</x:v>
      </x:c>
      <x:c r="O6" s="16" t="str">
        <x:v>The cited source supports the selected label no external trace reported under the codebook's item-level public-record alignment criterion.</x:v>
      </x:c>
      <x:c r="P6" s="16" t="str">
        <x:v>urn:isbn:979-8-3315-5397-5 | Paper pp. 1–3 (pipeline and feedback loop), pp. 4–5 (evaluation and Listings 1–2), and p. 6 (conclusion). | excerpt pages 4, 1</x:v>
      </x:c>
      <x:c r="Q6" s="16" t="str">
        <x:v>no</x:v>
      </x:c>
      <x:c r="R6" s="11" t="str"/>
      <x:c r="S6" s="11" t="str">
        <x:v>2026-08-12</x:v>
      </x:c>
      <x:c r="T6" s="18" t="str">
        <x:f>IF(OR(AND(N6="unresolved",LEN(O6)&gt;0,LEN(P6)&gt;0,Q6="yes"),AND(LEN(N6)&gt;0,LEN(O6)&gt;0,LEN(P6)&gt;0,OR(Q6="yes",Q6="no"))),"ready","pending")</x:f>
        <x:v>ready</x:v>
      </x:c>
    </x:row>
    <x:row r="7" ht="44" customHeight="1">
      <x:c r="A7" s="10" t="str">
        <x:v>C03__lifecycle</x:v>
      </x:c>
      <x:c r="B7" s="11" t="str">
        <x:v>C03</x:v>
      </x:c>
      <x:c r="C7" s="11" t="str">
        <x:v>released_67</x:v>
      </x:c>
      <x:c r="D7" s="11" t="str">
        <x:v>Multi-agent collaborative fuzzing with continuous reflection for smart contracts vulnerability detection</x:v>
      </x:c>
      <x:c r="E7" s="11" t="str">
        <x:v>lifecycle coverage</x:v>
      </x:c>
      <x:c r="F7" s="11" t="str">
        <x:v>multi-label</x:v>
      </x:c>
      <x:c r="G7" s="11" t="str">
        <x:v>execution observation;path and input exploration</x:v>
      </x:c>
      <x:c r="H7" s="11" t="str">
        <x:v>candidate analysis;execution observation;path and input exploration</x:v>
      </x:c>
      <x:c r="I7" s="11" t="str">
        <x:v>source-linked lead</x:v>
      </x:c>
      <x:c r="J7" s="11" t="str">
        <x:v>https://arxiv.org/abs/2511.12164 | Paper p. 1 (Abstract), pp. 3–7 (CRP/RCC methodology and agent team), and pp. 7–12 (evaluation and conclusion). | excerpt pages 5, 11</x:v>
      </x:c>
      <x:c r="K7" s="11" t="str">
        <x:v>[p.5] DraftingPhasesSubtasks Global Reflection Reflection with feedback from backend Refine TxS with feedbackCollaborative Chain Testing Contracts Testing with Backend Executing TxS with EVM VulnerabilityDetectorPre-Analysis &amp;Generate init TxS Local Reflection Function Check Argument Check Reflection with feedback from SeedPool Sender Check Amount Check EVM VD TxSeqDrafter TxSeqRefiner FunChecker ArugChecker SNDChecker AMTChecker 𝑇!"!# 𝑇!"!#𝑇$% Vul. [p.11] Related Work Smart Contract Vulnerability Detection.The detection of smart contract vulnerabilities can be roughly divided into dynamic analysis and static analysis, depending on whether the programs need to be executed.</x:v>
      </x:c>
      <x:c r="L7" s="16" t="str">
        <x:v>A source-linked excerpt and locator are supplied as review leads; the cited source and locator should be retained for auditability.</x:v>
      </x:c>
      <x:c r="M7" s="16" t="str">
        <x:v>Mark only observable lifecycle actions or outputs. Reporting and audit requires explicit packaging, routing, disclosure, or audit transition; a report name alone is insufficient.</x:v>
      </x:c>
      <x:c r="N7" s="16" t="str">
        <x:v>path and input exploration;execution observation</x:v>
      </x:c>
      <x:c r="O7" s="16" t="str">
        <x:v>The cited source supports the selected label path and input exploration;execution observation; only observable workflow actions or outputs were retained.</x:v>
      </x:c>
      <x:c r="P7" s="16" t="str">
        <x:v>https://arxiv.org/abs/2511.12164 | Paper p. 1 (Abstract), pp. 3–7 (CRP/RCC methodology and agent team), and pp. 7–12 (evaluation and conclusion). | excerpt pages 5, 11</x:v>
      </x:c>
      <x:c r="Q7" s="16" t="str">
        <x:v>no</x:v>
      </x:c>
      <x:c r="R7" s="11" t="str"/>
      <x:c r="S7" s="11" t="str">
        <x:v>2026-08-12</x:v>
      </x:c>
      <x:c r="T7" s="18" t="str">
        <x:f>IF(OR(AND(N7="unresolved",LEN(O7)&gt;0,LEN(P7)&gt;0,Q7="yes"),AND(LEN(N7)&gt;0,LEN(O7)&gt;0,LEN(P7)&gt;0,OR(Q7="yes",Q7="no"))),"ready","pending")</x:f>
        <x:v>ready</x:v>
      </x:c>
    </x:row>
    <x:row r="8" ht="44" customHeight="1">
      <x:c r="A8" s="10" t="str">
        <x:v>C03__capability</x:v>
      </x:c>
      <x:c r="B8" s="11" t="str">
        <x:v>C03</x:v>
      </x:c>
      <x:c r="C8" s="11" t="str">
        <x:v>released_67</x:v>
      </x:c>
      <x:c r="D8" s="11" t="str">
        <x:v>Multi-agent collaborative fuzzing with continuous reflection for smart contracts vulnerability detection</x:v>
      </x:c>
      <x:c r="E8" s="11" t="str">
        <x:v>cross-stage capability</x:v>
      </x:c>
      <x:c r="F8" s="11" t="str">
        <x:v>multi-label</x:v>
      </x:c>
      <x:c r="G8" s="11" t="str">
        <x:v>long-horizon state management</x:v>
      </x:c>
      <x:c r="H8" s="11" t="str">
        <x:v>context aggregation / rule extraction;failure reuse / strategy update;feedback interpretation / loop adjustment;long-horizon state management;tool routing / strategy routing</x:v>
      </x:c>
      <x:c r="I8" s="11" t="str">
        <x:v>source-linked lead</x:v>
      </x:c>
      <x:c r="J8" s="11" t="str">
        <x:v>https://arxiv.org/abs/2511.12164 | Paper p. 1 (Abstract), pp. 3–7 (CRP/RCC methodology and agent team), and pp. 7–12 (evaluation and conclusion). | excerpt pages 7, 6</x:v>
      </x:c>
      <x:c r="K8" s="11" t="str">
        <x:v>[p.7] As a result, in each iteration of the reflection loop,SmartFuzzrefines the transaction sequence based on environmental feedback, ensuring that both the global structure and the local elements are validated and progres- sively optimized to increase the likelihood of triggering vulnerabilities. [p.6] reflection loop, where the agent iteratively refines its output based on feedback from different step.</x:v>
      </x:c>
      <x:c r="L8" s="16" t="str">
        <x:v>A source-linked excerpt and locator are supplied as review leads; the cited source and locator should be retained for auditability.</x:v>
      </x:c>
      <x:c r="M8" s="16" t="str">
        <x:v>Require an explicit cross-stage connection. Information must guide later action; feedback must alter later action; packaging must assemble prior outputs; governance must enforce an actual gate.</x:v>
      </x:c>
      <x:c r="N8" s="16" t="str">
        <x:v>long-horizon state management</x:v>
      </x:c>
      <x:c r="O8" s="16" t="str">
        <x:v>The cited source supports the selected label long-horizon state management; each retained label requires an explicit connection that guides later action, feedback, packaging, or a gate.</x:v>
      </x:c>
      <x:c r="P8" s="16" t="str">
        <x:v>https://arxiv.org/abs/2511.12164 | Paper p. 1 (Abstract), pp. 3–7 (CRP/RCC methodology and agent team), and pp. 7–12 (evaluation and conclusion). | excerpt pages 7, 6</x:v>
      </x:c>
      <x:c r="Q8" s="16" t="str">
        <x:v>no</x:v>
      </x:c>
      <x:c r="R8" s="11" t="str"/>
      <x:c r="S8" s="11" t="str">
        <x:v>2026-08-12</x:v>
      </x:c>
      <x:c r="T8" s="18" t="str">
        <x:f>IF(OR(AND(N8="unresolved",LEN(O8)&gt;0,LEN(P8)&gt;0,Q8="yes"),AND(LEN(N8)&gt;0,LEN(O8)&gt;0,LEN(P8)&gt;0,OR(Q8="yes",Q8="no"))),"ready","pending")</x:f>
        <x:v>ready</x:v>
      </x:c>
    </x:row>
    <x:row r="9" ht="44" customHeight="1">
      <x:c r="A9" s="10" t="str">
        <x:v>C04__lifecycle</x:v>
      </x:c>
      <x:c r="B9" s="11" t="str">
        <x:v>C04</x:v>
      </x:c>
      <x:c r="C9" s="11" t="str">
        <x:v>released_67</x:v>
      </x:c>
      <x:c r="D9" s="11" t="str">
        <x:v>All you need is a fuzzing brain: an LLM-powered system for automated vulnerability detection and patching</x:v>
      </x:c>
      <x:c r="E9" s="11" t="str">
        <x:v>lifecycle coverage</x:v>
      </x:c>
      <x:c r="F9" s="11" t="str">
        <x:v>multi-label</x:v>
      </x:c>
      <x:c r="G9" s="11" t="str">
        <x:v>execution observation;patch validation;path and input exploration;reporting and audit;reproduction and validation</x:v>
      </x:c>
      <x:c r="H9" s="11" t="str">
        <x:v>candidate analysis;execution observation;patch validation;path and input exploration;reporting and audit;reproduction and validation</x:v>
      </x:c>
      <x:c r="I9" s="11" t="str">
        <x:v>source-linked lead</x:v>
      </x:c>
      <x:c r="J9" s="11" t="str">
        <x:v>https://arxiv.org/abs/2509.07225 | Paper pp. 1–2 (Abstract and AIxCC task model), pp. 2–10 (architecture, detection/PoV/patch workflows), and pp. 10–13 (evaluation). | excerpt pages 7</x:v>
      </x:c>
      <x:c r="K9" s="11" t="str">
        <x:v>[p.7] All You Need Is A Fuzzing Brain: An LLM-Powered System for Automated Vulnerability Detection and Patching AIxCC, 2025, Figure 2: Task Distribution &amp; Strategy Running Table 3: Delta-Scan POV Generation Strategies Comparison Strategy Input Analysis Generation Method Core Characteristics xs0_delta Commit diff analysis Single input per iteration Basic strategy, iterative LLM refinement as0_delta Commit diff analysis Multi-input generation Advanced strategy with 5 inputs per try Table 4: Full-Scan POV Generation Strategies Comparison Strategy Function Discovery Ranking Method Core Characteristics xs0_c_full Call graph analysis LLM ranking Basic function filtering with simple LLM ranking xs0_java_</x:v>
      </x:c>
      <x:c r="L9" s="16" t="str">
        <x:v>A source-linked excerpt and locator are supplied as review leads; the cited source and locator should be retained for auditability.</x:v>
      </x:c>
      <x:c r="M9" s="16" t="str">
        <x:v>Mark only observable lifecycle actions or outputs. Reporting and audit requires explicit packaging, routing, disclosure, or audit transition; a report name alone is insufficient.</x:v>
      </x:c>
      <x:c r="N9" s="16" t="str">
        <x:v>path and input exploration;execution observation;reproduction and validation;patch validation;reporting and audit</x:v>
      </x:c>
      <x:c r="O9" s="16" t="str">
        <x:v>The cited source supports the selected label path and input exploration;execution observation;reproduction and validation;patch validation;reporting and audit; only observable workflow actions or outputs were retained.</x:v>
      </x:c>
      <x:c r="P9" s="16" t="str">
        <x:v>https://arxiv.org/abs/2509.07225 | Paper pp. 1–2 (Abstract and AIxCC task model), pp. 2–10 (architecture, detection/PoV/patch workflows), and pp. 10–13 (evaluation). | excerpt pages 7</x:v>
      </x:c>
      <x:c r="Q9" s="16" t="str">
        <x:v>no</x:v>
      </x:c>
      <x:c r="R9" s="11" t="str"/>
      <x:c r="S9" s="11" t="str">
        <x:v>2026-08-12</x:v>
      </x:c>
      <x:c r="T9" s="18" t="str">
        <x:f>IF(OR(AND(N9="unresolved",LEN(O9)&gt;0,LEN(P9)&gt;0,Q9="yes"),AND(LEN(N9)&gt;0,LEN(O9)&gt;0,LEN(P9)&gt;0,OR(Q9="yes",Q9="no"))),"ready","pending")</x:f>
        <x:v>ready</x:v>
      </x:c>
    </x:row>
    <x:row r="10" ht="44" customHeight="1">
      <x:c r="A10" s="10" t="str">
        <x:v>C04__capability</x:v>
      </x:c>
      <x:c r="B10" s="11" t="str">
        <x:v>C04</x:v>
      </x:c>
      <x:c r="C10" s="11" t="str">
        <x:v>released_67</x:v>
      </x:c>
      <x:c r="D10" s="11" t="str">
        <x:v>All you need is a fuzzing brain: an LLM-powered system for automated vulnerability detection and patching</x:v>
      </x:c>
      <x:c r="E10" s="11" t="str">
        <x:v>cross-stage capability</x:v>
      </x:c>
      <x:c r="F10" s="11" t="str">
        <x:v>multi-label</x:v>
      </x:c>
      <x:c r="G10" s="11" t="str">
        <x:v>failure reuse / strategy update;feedback interpretation / loop adjustment;long-horizon state management;validation organization / evidence packaging</x:v>
      </x:c>
      <x:c r="H10" s="11" t="str">
        <x:v>context aggregation / rule extraction;failure reuse / strategy update;feedback interpretation / loop adjustment;long-horizon state management;tool routing / strategy routing;validation organization / evidence packaging</x:v>
      </x:c>
      <x:c r="I10" s="11" t="str">
        <x:v>source-linked lead</x:v>
      </x:c>
      <x:c r="J10" s="11" t="str">
        <x:v>https://arxiv.org/abs/2509.07225 | Paper pp. 1–2 (Abstract and AIxCC task model), pp. 2–10 (architecture, detection/PoV/patch workflows), and pp. 10–13 (evaluation). | excerpt pages 8, 10</x:v>
      </x:c>
      <x:c r="K10" s="11" t="str">
        <x:v>[p.8] Except for XPatch, all patching strategies follow the same work- flow, illustrated in Figure 4: (1)Target Function Identification: Identify vulnerable func- tions using strategy-specific heuristics. (2) Metadata Extraction: Retrieve the complete function source code and surrounding context. (3) Patch Generation: Use LLMs to produce a revised version of the function body. [p.10] Context Retrieval.The strategy also supports dynamic context retrieval, enabling the LLM to request additional source code when needed: "If you need the source code of any other function, please return the file paths and function names in the following JSON format:" This feature supports comprehensive reasoning over complex vul- nerabilities that span multiple functions or require broader program context.</x:v>
      </x:c>
      <x:c r="L10" s="16" t="str">
        <x:v>A source-linked excerpt and locator are supplied as review leads; the cited source and locator should be retained for auditability.</x:v>
      </x:c>
      <x:c r="M10" s="16" t="str">
        <x:v>Require an explicit cross-stage connection. Information must guide later action; feedback must alter later action; packaging must assemble prior outputs; governance must enforce an actual gate.</x:v>
      </x:c>
      <x:c r="N10" s="16" t="str">
        <x:v>feedback interpretation / loop adjustment;validation organization / evidence packaging;long-horizon state management;failure reuse / strategy update</x:v>
      </x:c>
      <x:c r="O10" s="16" t="str">
        <x:v>The cited source supports the selected label feedback interpretation / loop adjustment;validation organization / evidence packaging;long-horizon state management;failure reuse / strategy update; each retained label requires an explicit connection that guides later action, feedback, packaging, or a gate.</x:v>
      </x:c>
      <x:c r="P10" s="16" t="str">
        <x:v>https://arxiv.org/abs/2509.07225 | Paper pp. 1–2 (Abstract and AIxCC task model), pp. 2–10 (architecture, detection/PoV/patch workflows), and pp. 10–13 (evaluation). | excerpt pages 8, 10</x:v>
      </x:c>
      <x:c r="Q10" s="16" t="str">
        <x:v>no</x:v>
      </x:c>
      <x:c r="R10" s="11" t="str"/>
      <x:c r="S10" s="11" t="str">
        <x:v>2026-08-12</x:v>
      </x:c>
      <x:c r="T10" s="18" t="str">
        <x:f>IF(OR(AND(N10="unresolved",LEN(O10)&gt;0,LEN(P10)&gt;0,Q10="yes"),AND(LEN(N10)&gt;0,LEN(O10)&gt;0,LEN(P10)&gt;0,OR(Q10="yes",Q10="no"))),"ready","pending")</x:f>
        <x:v>ready</x:v>
      </x:c>
    </x:row>
    <x:row r="11" ht="44" customHeight="1">
      <x:c r="A11" s="10" t="str">
        <x:v>C05__lifecycle</x:v>
      </x:c>
      <x:c r="B11" s="11" t="str">
        <x:v>C05</x:v>
      </x:c>
      <x:c r="C11" s="11" t="str">
        <x:v>released_67</x:v>
      </x:c>
      <x:c r="D11" s="11" t="str">
        <x:v>Mut4All: fuzzing compilers via LLM-synthesized mutators learned from bug reports</x:v>
      </x:c>
      <x:c r="E11" s="11" t="str">
        <x:v>lifecycle coverage</x:v>
      </x:c>
      <x:c r="F11" s="11" t="str">
        <x:v>multi-label</x:v>
      </x:c>
      <x:c r="G11" s="11" t="str">
        <x:v>execution observation;path and input exploration</x:v>
      </x:c>
      <x:c r="H11" s="11" t="str">
        <x:v>execution observation;path and input exploration;reporting and audit;reproduction and validation</x:v>
      </x:c>
      <x:c r="I11" s="11" t="str">
        <x:v>source-linked lead</x:v>
      </x:c>
      <x:c r="J11" s="11" t="str">
        <x:v>https://arxiv.org/abs/2507.19275 | Paper pp. 1–7 (design and motivating issue mappings), pp. 14–20 (RQ1–RQ3, especially bug-hunting results), and pp. 22–24 (discussion/conclusion). | excerpt pages 1</x:v>
      </x:c>
      <x:c r="K11" s="11" t="str">
        <x:v>[p.1] This pipeline analyzes 1000 bug reports (500 each for Rust and C++), and synthesizes 319 and 403 mutators for them. [p.1] In this work, we present Mut4All, a fully automated, cross-language framework that synthesizes mutation operators by leveraging LLM agents and compiler-specific insights extracted from bug reports on open-source compiler repositories.</x:v>
      </x:c>
      <x:c r="L11" s="16" t="str">
        <x:v>A source-linked excerpt and locator are supplied as review leads; the cited source and locator should be retained for auditability.</x:v>
      </x:c>
      <x:c r="M11" s="16" t="str">
        <x:v>Mark only observable lifecycle actions or outputs. Reporting and audit requires explicit packaging, routing, disclosure, or audit transition; a report name alone is insufficient.</x:v>
      </x:c>
      <x:c r="N11" s="16" t="str">
        <x:v>path and input exploration;execution observation</x:v>
      </x:c>
      <x:c r="O11" s="16" t="str">
        <x:v>The cited source supports the selected label path and input exploration;execution observation; only observable workflow actions or outputs were retained.</x:v>
      </x:c>
      <x:c r="P11" s="16" t="str">
        <x:v>https://arxiv.org/abs/2507.19275 | Paper pp. 1–7 (design and motivating issue mappings), pp. 14–20 (RQ1–RQ3, especially bug-hunting results), and pp. 22–24 (discussion/conclusion). | excerpt pages 1</x:v>
      </x:c>
      <x:c r="Q11" s="16" t="str">
        <x:v>no</x:v>
      </x:c>
      <x:c r="R11" s="11" t="str"/>
      <x:c r="S11" s="11" t="str">
        <x:v>2026-08-12</x:v>
      </x:c>
      <x:c r="T11" s="18" t="str">
        <x:f>IF(OR(AND(N11="unresolved",LEN(O11)&gt;0,LEN(P11)&gt;0,Q11="yes"),AND(LEN(N11)&gt;0,LEN(O11)&gt;0,LEN(P11)&gt;0,OR(Q11="yes",Q11="no"))),"ready","pending")</x:f>
        <x:v>ready</x:v>
      </x:c>
    </x:row>
    <x:row r="12" ht="44" customHeight="1">
      <x:c r="A12" s="10" t="str">
        <x:v>C05__principal_evidence</x:v>
      </x:c>
      <x:c r="B12" s="11" t="str">
        <x:v>C05</x:v>
      </x:c>
      <x:c r="C12" s="11" t="str">
        <x:v>released_67</x:v>
      </x:c>
      <x:c r="D12" s="11" t="str">
        <x:v>Mut4All: fuzzing compilers via LLM-synthesized mutators learned from bug reports</x:v>
      </x:c>
      <x:c r="E12" s="11" t="str">
        <x:v>principal reported evidence output</x:v>
      </x:c>
      <x:c r="F12" s="11" t="str">
        <x:v>single-label</x:v>
      </x:c>
      <x:c r="G12" s="11" t="str">
        <x:v>runtime safety signal</x:v>
      </x:c>
      <x:c r="H12" s="11" t="str">
        <x:v>externally traceable material</x:v>
      </x:c>
      <x:c r="I12" s="11" t="str">
        <x:v>source-linked lead</x:v>
      </x:c>
      <x:c r="J12" s="11" t="str">
        <x:v>https://arxiv.org/abs/2507.19275 | Paper pp. 1–7 (design and motivating issue mappings), pp. 14–20 (RQ1–RQ3, especially bug-hunting results), and pp. 22–24 (discussion/conclusion). | excerpt pages 2, 4</x:v>
      </x:c>
      <x:c r="K12" s="11" t="str">
        <x:v>[p.2] Experimental results also show that Mut4All discovers a significant number of unique crashes, complementing existing fuzzers, and achieves the highest coverage on all Rust and C++ compilers. [p.4] The results indicate that Mut4All outperforms existing approaches by discovering more unique crashes, achieving the highest line coverage on Rust and both C++ compilers.</x:v>
      </x:c>
      <x:c r="L12" s="16" t="str">
        <x:v>A source-linked excerpt and locator are supplied as review leads; the cited source and locator should be retained for auditability.</x:v>
      </x:c>
      <x:c r="M12" s="16" t="str">
        <x:v>Select the observable result most directly supporting the main finding. Benchmark ground truth or aggregate CVE counts do not automatically establish externally traceable material.</x:v>
      </x:c>
      <x:c r="N12" s="16" t="str">
        <x:v>runtime safety signal</x:v>
      </x:c>
      <x:c r="O12" s="16" t="str">
        <x:v>The cited source supports the selected label runtime safety signal as the main observable result reported for the study.</x:v>
      </x:c>
      <x:c r="P12" s="16" t="str">
        <x:v>https://arxiv.org/abs/2507.19275 | Paper pp. 1–7 (design and motivating issue mappings), pp. 14–20 (RQ1–RQ3, especially bug-hunting results), and pp. 22–24 (discussion/conclusion). | excerpt pages 2, 4</x:v>
      </x:c>
      <x:c r="Q12" s="16" t="str">
        <x:v>no</x:v>
      </x:c>
      <x:c r="R12" s="11" t="str"/>
      <x:c r="S12" s="11" t="str">
        <x:v>2026-08-12</x:v>
      </x:c>
      <x:c r="T12" s="18" t="str">
        <x:f>IF(OR(AND(N12="unresolved",LEN(O12)&gt;0,LEN(P12)&gt;0,Q12="yes"),AND(LEN(N12)&gt;0,LEN(O12)&gt;0,LEN(P12)&gt;0,OR(Q12="yes",Q12="no"))),"ready","pending")</x:f>
        <x:v>ready</x:v>
      </x:c>
    </x:row>
    <x:row r="13" ht="44" customHeight="1">
      <x:c r="A13" s="10" t="str">
        <x:v>C05__external_traceability</x:v>
      </x:c>
      <x:c r="B13" s="11" t="str">
        <x:v>C05</x:v>
      </x:c>
      <x:c r="C13" s="11" t="str">
        <x:v>released_67</x:v>
      </x:c>
      <x:c r="D13" s="11" t="str">
        <x:v>Mut4All: fuzzing compilers via LLM-synthesized mutators learned from bug reports</x:v>
      </x:c>
      <x:c r="E13" s="11" t="str">
        <x:v>external traceability</x:v>
      </x:c>
      <x:c r="F13" s="11" t="str">
        <x:v>single-label</x:v>
      </x:c>
      <x:c r="G13" s="11" t="str">
        <x:v>no external trace reported</x:v>
      </x:c>
      <x:c r="H13" s="11" t="str">
        <x:v>publicly aligned external trace</x:v>
      </x:c>
      <x:c r="I13" s="11" t="str">
        <x:v>source-linked lead</x:v>
      </x:c>
      <x:c r="J13" s="11" t="str">
        <x:v>https://arxiv.org/abs/2507.19275 | Paper pp. 1–7 (design and motivating issue mappings), pp. 14–20 (RQ1–RQ3, especially bug-hunting results), and pp. 22–24 (discussion/conclusion). | excerpt pages 7, 18</x:v>
      </x:c>
      <x:c r="K13" s="11" t="str">
        <x:v>[p.7] This results in a compiler crash, reported as bug GCC-120798, which has been confirmed by GCC maintainers. [p.18] Among these, 58 bugs (i.e., 60%) have been confirmed by compiler maintainers as previously unknown bugs: 32 in rustc, 9 in gccrs, 7 in GCC, and 10 in Clang.</x:v>
      </x:c>
      <x:c r="L13" s="16" t="str">
        <x:v>A source-linked excerpt and locator are supplied as review leads; the cited source and locator should be retained for auditability.</x:v>
      </x:c>
      <x:c r="M13" s="16" t="str">
        <x:v>Code separately from principal output. Only item-level alignment between a concrete system result and a specific public external record qualifies as publicly aligned external trace.</x:v>
      </x:c>
      <x:c r="N13" s="16" t="str">
        <x:v>no external trace reported</x:v>
      </x:c>
      <x:c r="O13" s="16" t="str">
        <x:v>The cited source supports the selected label no external trace reported under the codebook's item-level public-record alignment criterion.</x:v>
      </x:c>
      <x:c r="P13" s="16" t="str">
        <x:v>https://arxiv.org/abs/2507.19275 | Paper pp. 1–7 (design and motivating issue mappings), pp. 14–20 (RQ1–RQ3, especially bug-hunting results), and pp. 22–24 (discussion/conclusion). | excerpt pages 7, 18</x:v>
      </x:c>
      <x:c r="Q13" s="16" t="str">
        <x:v>no</x:v>
      </x:c>
      <x:c r="R13" s="11" t="str"/>
      <x:c r="S13" s="11" t="str">
        <x:v>2026-08-12</x:v>
      </x:c>
      <x:c r="T13" s="18" t="str">
        <x:f>IF(OR(AND(N13="unresolved",LEN(O13)&gt;0,LEN(P13)&gt;0,Q13="yes"),AND(LEN(N13)&gt;0,LEN(O13)&gt;0,LEN(P13)&gt;0,OR(Q13="yes",Q13="no"))),"ready","pending")</x:f>
        <x:v>ready</x:v>
      </x:c>
    </x:row>
    <x:row r="14" ht="44" customHeight="1">
      <x:c r="A14" s="10" t="str">
        <x:v>C06__capability</x:v>
      </x:c>
      <x:c r="B14" s="11" t="str">
        <x:v>C06</x:v>
      </x:c>
      <x:c r="C14" s="11" t="str">
        <x:v>released_67</x:v>
      </x:c>
      <x:c r="D14" s="11" t="str">
        <x:v>LLAMA: multi-feedback smart contract fuzzing framework with LLM-guided seed generation</x:v>
      </x:c>
      <x:c r="E14" s="11" t="str">
        <x:v>cross-stage capability</x:v>
      </x:c>
      <x:c r="F14" s="11" t="str">
        <x:v>multi-label</x:v>
      </x:c>
      <x:c r="G14" s="11" t="str">
        <x:v>context aggregation / rule extraction;feedback interpretation / loop adjustment;validation organization / evidence packaging</x:v>
      </x:c>
      <x:c r="H14" s="11" t="str">
        <x:v>context aggregation / rule extraction;failure reuse / strategy update;feedback interpretation / loop adjustment;tool routing / strategy routing</x:v>
      </x:c>
      <x:c r="I14" s="11" t="str">
        <x:v>source-linked lead</x:v>
      </x:c>
      <x:c r="J14" s="11" t="str">
        <x:v>https://doi.org/10.1109/TIFS.2026.3666859 | Paper pp. 1–4 (Abstract, motivation and assumptions), pp. 5–10 (seed validation, scheduler and hybrid fuzzing), and pp. 11–14 (evaluation). | excerpt pages 8</x:v>
      </x:c>
      <x:c r="K14" s="11" t="str">
        <x:v>[p.8] The engine adopts a ﬁtness-based ranking strategy that prioritizes Algorithm 3 Selective Symbolic Execution and Asynchronous LLM-Guided Reseeding Input: 1: Seed population P, coverage analyzer A 2: Executor S, LLM client L 3: Constants: Stagnation window W, relative threshold ϵrel Output: 4: Updated seed population P 5: Initialize coverage history H ← [ ] and pending ← false 6: while not TerminationCriterion do 7: Run evolutionary generation on P (selection, crossover, mutation) 8: Execute seeds; covt ← A.GlobalCoverage(P) 9: Append covt to H 10: if StagnationDetected(H, W,ϵ rel) and not pending then 11: Scand ← SelectStuckSeeds(P, A) 12: LaunchSSEAsync(Scand, S) {Non-blocking} 13: SubmitLLM</x:v>
      </x:c>
      <x:c r="L14" s="16" t="str">
        <x:v>A source-linked excerpt and locator are supplied as review leads; the cited source and locator should be retained for auditability.</x:v>
      </x:c>
      <x:c r="M14" s="16" t="str">
        <x:v>Require an explicit cross-stage connection. Information must guide later action; feedback must alter later action; packaging must assemble prior outputs; governance must enforce an actual gate.</x:v>
      </x:c>
      <x:c r="N14" s="16" t="str">
        <x:v>context aggregation / rule extraction;feedback interpretation / loop adjustment;validation organization / evidence packaging</x:v>
      </x:c>
      <x:c r="O14" s="16" t="str">
        <x:v>The cited source supports the selected label context aggregation / rule extraction;feedback interpretation / loop adjustment;validation organization / evidence packaging; each retained label requires an explicit connection that guides later action, feedback, packaging, or a gate.</x:v>
      </x:c>
      <x:c r="P14" s="16" t="str">
        <x:v>https://doi.org/10.1109/TIFS.2026.3666859 | Paper pp. 1–4 (Abstract, motivation and assumptions), pp. 5–10 (seed validation, scheduler and hybrid fuzzing), and pp. 11–14 (evaluation). | excerpt pages 8</x:v>
      </x:c>
      <x:c r="Q14" s="16" t="str">
        <x:v>no</x:v>
      </x:c>
      <x:c r="R14" s="11" t="str"/>
      <x:c r="S14" s="11" t="str">
        <x:v>2026-08-12</x:v>
      </x:c>
      <x:c r="T14" s="18" t="str">
        <x:f>IF(OR(AND(N14="unresolved",LEN(O14)&gt;0,LEN(P14)&gt;0,Q14="yes"),AND(LEN(N14)&gt;0,LEN(O14)&gt;0,LEN(P14)&gt;0,OR(Q14="yes",Q14="no"))),"ready","pending")</x:f>
        <x:v>ready</x:v>
      </x:c>
    </x:row>
    <x:row r="15" ht="44" customHeight="1">
      <x:c r="A15" s="10" t="str">
        <x:v>C07__lifecycle</x:v>
      </x:c>
      <x:c r="B15" s="11" t="str">
        <x:v>C07</x:v>
      </x:c>
      <x:c r="C15" s="11" t="str">
        <x:v>released_67</x:v>
      </x:c>
      <x:c r="D15" s="11" t="str">
        <x:v>ProtocolGuard: detecting protocol non-compliance bugs via LLM-guided static analysis and dynamic verification</x:v>
      </x:c>
      <x:c r="E15" s="11" t="str">
        <x:v>lifecycle coverage</x:v>
      </x:c>
      <x:c r="F15" s="11" t="str">
        <x:v>multi-label</x:v>
      </x:c>
      <x:c r="G15" s="11" t="str">
        <x:v>candidate analysis;execution observation;reproduction and validation</x:v>
      </x:c>
      <x:c r="H15" s="11" t="str">
        <x:v>candidate analysis;execution observation;path and input exploration;reporting and audit;reproduction and validation</x:v>
      </x:c>
      <x:c r="I15" s="11" t="str">
        <x:v>source-linked lead</x:v>
      </x:c>
      <x:c r="J15" s="11" t="str">
        <x:v>https://doi.org/10.14722/ndss.2026.240521 | Paper pp. 1–3 (Abstract/problem), pp. 4–8 (rule extraction, slicing and dynamic verification), pp. 8–10 (case studies), and pp. 13–18 (disclosure/appendix). | excerpt pages 13</x:v>
      </x:c>
      <x:c r="K15" s="11" t="str">
        <x:v>[p.13] Directed fuzzing aims to efficiently validate known or potential bugs by guiding input mutations toward specific program locations or paths. [p.13] To address this limitation, we plan to inte- grate protocol-aware mutation strategies or symbolic execution techniques to help fuzzers explore complex conditional paths that are otherwise difficult to reach.</x:v>
      </x:c>
      <x:c r="L15" s="16" t="str">
        <x:v>A source-linked excerpt and locator are supplied as review leads; the cited source and locator should be retained for auditability.</x:v>
      </x:c>
      <x:c r="M15" s="16" t="str">
        <x:v>Mark only observable lifecycle actions or outputs. Reporting and audit requires explicit packaging, routing, disclosure, or audit transition; a report name alone is insufficient.</x:v>
      </x:c>
      <x:c r="N15" s="16" t="str">
        <x:v>candidate analysis;execution observation;reproduction and validation</x:v>
      </x:c>
      <x:c r="O15" s="16" t="str">
        <x:v>The cited source supports the selected label candidate analysis;execution observation;reproduction and validation; only observable workflow actions or outputs were retained.</x:v>
      </x:c>
      <x:c r="P15" s="16" t="str">
        <x:v>https://doi.org/10.14722/ndss.2026.240521 | Paper pp. 1–3 (Abstract/problem), pp. 4–8 (rule extraction, slicing and dynamic verification), pp. 8–10 (case studies), and pp. 13–18 (disclosure/appendix). | excerpt pages 13</x:v>
      </x:c>
      <x:c r="Q15" s="16" t="str">
        <x:v>no</x:v>
      </x:c>
      <x:c r="R15" s="11" t="str"/>
      <x:c r="S15" s="11" t="str">
        <x:v>2026-08-12</x:v>
      </x:c>
      <x:c r="T15" s="18" t="str">
        <x:f>IF(OR(AND(N15="unresolved",LEN(O15)&gt;0,LEN(P15)&gt;0,Q15="yes"),AND(LEN(N15)&gt;0,LEN(O15)&gt;0,LEN(P15)&gt;0,OR(Q15="yes",Q15="no"))),"ready","pending")</x:f>
        <x:v>ready</x:v>
      </x:c>
    </x:row>
    <x:row r="16" ht="44" customHeight="1">
      <x:c r="A16" s="10" t="str">
        <x:v>C08__lifecycle</x:v>
      </x:c>
      <x:c r="B16" s="11" t="str">
        <x:v>C08</x:v>
      </x:c>
      <x:c r="C16" s="11" t="str">
        <x:v>released_67</x:v>
      </x:c>
      <x:c r="D16" s="11" t="str">
        <x:v>BSFuzzer: context-aware semantic fuzzing for BLE logic flaw detection</x:v>
      </x:c>
      <x:c r="E16" s="11" t="str">
        <x:v>lifecycle coverage</x:v>
      </x:c>
      <x:c r="F16" s="11" t="str">
        <x:v>multi-label</x:v>
      </x:c>
      <x:c r="G16" s="11" t="str">
        <x:v>candidate analysis;execution observation;path and input exploration</x:v>
      </x:c>
      <x:c r="H16" s="11" t="str">
        <x:v>candidate analysis;execution observation;path and input exploration;reporting and audit;reproduction and validation</x:v>
      </x:c>
      <x:c r="I16" s="11" t="str">
        <x:v>source-linked lead</x:v>
      </x:c>
      <x:c r="J16" s="11" t="str">
        <x:v>https://doi.org/10.14722/ndss.2026.240094 | Paper pp. 1–5 (Abstract and design motivation), pp. 5–9 (semantic mutation workflow), pp. 8–14 (evaluation and case analysis), and p. 18 (Appendix B.2 findings table). | excerpt pages 11</x:v>
      </x:c>
      <x:c r="K16" s="11" t="str">
        <x:v>[p.11] SecByp 8.1 Neglects key validation; encryption proceeds with all-zero key V3H§2.4.4 S4 Misaligned state by earlyLL_ENC_REQbefore pairing – DoS 7.5 Improper sequence handling leads to desync V3H§2.4 S5 Accepts LL_START_ENC_RSPbefore pairing – DoS 8.1 Fails to verify preconditions before encryption start V6B§4.7 S6 Multiple LL_LENGTH_REQcauses crash – DoS 6.5 Flooding LL_LENGTH_REQcauses stack overflow V6B§4.5.10 S7 Accepts LL_START_ENC_REQbefore pairing – DoS 7.5 Bypasses authentication phase during pairing V6B§4.7 S8 Accepts PAIRING_RANDOMbefore public key exchange SC DoS 7.5 Breaks pairing sequence V3H§2.3.5.7 I1 Accepts LL_LENGTH_REQwithmax_tx_bytes&lt;27 – DoS 6.5 Violates minimal payload co</x:v>
      </x:c>
      <x:c r="L16" s="16" t="str">
        <x:v>A source-linked excerpt and locator are supplied as review leads; the cited source and locator should be retained for auditability.</x:v>
      </x:c>
      <x:c r="M16" s="16" t="str">
        <x:v>Mark only observable lifecycle actions or outputs. Reporting and audit requires explicit packaging, routing, disclosure, or audit transition; a report name alone is insufficient.</x:v>
      </x:c>
      <x:c r="N16" s="16" t="str">
        <x:v>candidate analysis;path and input exploration;execution observation</x:v>
      </x:c>
      <x:c r="O16" s="16" t="str">
        <x:v>The cited source supports the selected label candidate analysis;path and input exploration;execution observation; only observable workflow actions or outputs were retained.</x:v>
      </x:c>
      <x:c r="P16" s="16" t="str">
        <x:v>https://doi.org/10.14722/ndss.2026.240094 | Paper pp. 1–5 (Abstract and design motivation), pp. 5–9 (semantic mutation workflow), pp. 8–14 (evaluation and case analysis), and p. 18 (Appendix B.2 findings table). | excerpt pages 11</x:v>
      </x:c>
      <x:c r="Q16" s="16" t="str">
        <x:v>no</x:v>
      </x:c>
      <x:c r="R16" s="11" t="str"/>
      <x:c r="S16" s="11" t="str">
        <x:v>2026-08-12</x:v>
      </x:c>
      <x:c r="T16" s="18" t="str">
        <x:f>IF(OR(AND(N16="unresolved",LEN(O16)&gt;0,LEN(P16)&gt;0,Q16="yes"),AND(LEN(N16)&gt;0,LEN(O16)&gt;0,LEN(P16)&gt;0,OR(Q16="yes",Q16="no"))),"ready","pending")</x:f>
        <x:v>ready</x:v>
      </x:c>
    </x:row>
    <x:row r="17" ht="44" customHeight="1">
      <x:c r="A17" s="10" t="str">
        <x:v>C08__capability</x:v>
      </x:c>
      <x:c r="B17" s="11" t="str">
        <x:v>C08</x:v>
      </x:c>
      <x:c r="C17" s="11" t="str">
        <x:v>released_67</x:v>
      </x:c>
      <x:c r="D17" s="11" t="str">
        <x:v>BSFuzzer: context-aware semantic fuzzing for BLE logic flaw detection</x:v>
      </x:c>
      <x:c r="E17" s="11" t="str">
        <x:v>cross-stage capability</x:v>
      </x:c>
      <x:c r="F17" s="11" t="str">
        <x:v>multi-label</x:v>
      </x:c>
      <x:c r="G17" s="11" t="str">
        <x:v>context aggregation / rule extraction;feedback interpretation / loop adjustment;validation organization / evidence packaging</x:v>
      </x:c>
      <x:c r="H17" s="11" t="str">
        <x:v>context aggregation / rule extraction;tool routing / strategy routing;validation organization / evidence packaging</x:v>
      </x:c>
      <x:c r="I17" s="11" t="str">
        <x:v>source-linked lead</x:v>
      </x:c>
      <x:c r="J17" s="11" t="str">
        <x:v>https://doi.org/10.14722/ndss.2026.240094 | Paper pp. 1–5 (Abstract and design motivation), pp. 5–9 (semantic mutation workflow), pp. 8–14 (evaluation and case analysis), and p. 18 (Appendix B.2 findings table). | excerpt pages 9, 10</x:v>
      </x:c>
      <x:c r="K17" s="11" t="str">
        <x:v>[p.9] 2) Baseline Methods: We select four fuzzing tools as our baseline: Boofuzz [16], LLMIF [17], SweynTooth [12], and Proteus [8]. [p.10] The prompts were iteratively refined through measured accuracy and detailed error analysis on manually annotated samples, with each iteration re-evaluated until the accuracy converged to a stable level.</x:v>
      </x:c>
      <x:c r="L17" s="16" t="str">
        <x:v>A source-linked excerpt and locator are supplied as review leads; the cited source and locator should be retained for auditability.</x:v>
      </x:c>
      <x:c r="M17" s="16" t="str">
        <x:v>Require an explicit cross-stage connection. Information must guide later action; feedback must alter later action; packaging must assemble prior outputs; governance must enforce an actual gate.</x:v>
      </x:c>
      <x:c r="N17" s="16" t="str">
        <x:v>context aggregation / rule extraction;feedback interpretation / loop adjustment;validation organization / evidence packaging</x:v>
      </x:c>
      <x:c r="O17" s="16" t="str">
        <x:v>The cited source supports the selected label context aggregation / rule extraction;feedback interpretation / loop adjustment;validation organization / evidence packaging; each retained label requires an explicit connection that guides later action, feedback, packaging, or a gate.</x:v>
      </x:c>
      <x:c r="P17" s="16" t="str">
        <x:v>https://doi.org/10.14722/ndss.2026.240094 | Paper pp. 1–5 (Abstract and design motivation), pp. 5–9 (semantic mutation workflow), pp. 8–14 (evaluation and case analysis), and p. 18 (Appendix B.2 findings table). | excerpt pages 9, 10</x:v>
      </x:c>
      <x:c r="Q17" s="16" t="str">
        <x:v>no</x:v>
      </x:c>
      <x:c r="R17" s="11" t="str"/>
      <x:c r="S17" s="11" t="str">
        <x:v>2026-08-12</x:v>
      </x:c>
      <x:c r="T17" s="18" t="str">
        <x:f>IF(OR(AND(N17="unresolved",LEN(O17)&gt;0,LEN(P17)&gt;0,Q17="yes"),AND(LEN(N17)&gt;0,LEN(O17)&gt;0,LEN(P17)&gt;0,OR(Q17="yes",Q17="no"))),"ready","pending")</x:f>
        <x:v>ready</x:v>
      </x:c>
    </x:row>
    <x:row r="18" ht="44" customHeight="1">
      <x:c r="A18" s="10" t="str">
        <x:v>C08__principal_evidence</x:v>
      </x:c>
      <x:c r="B18" s="11" t="str">
        <x:v>C08</x:v>
      </x:c>
      <x:c r="C18" s="11" t="str">
        <x:v>released_67</x:v>
      </x:c>
      <x:c r="D18" s="11" t="str">
        <x:v>BSFuzzer: context-aware semantic fuzzing for BLE logic flaw detection</x:v>
      </x:c>
      <x:c r="E18" s="11" t="str">
        <x:v>principal reported evidence output</x:v>
      </x:c>
      <x:c r="F18" s="11" t="str">
        <x:v>single-label</x:v>
      </x:c>
      <x:c r="G18" s="11" t="str">
        <x:v>runtime safety signal</x:v>
      </x:c>
      <x:c r="H18" s="11" t="str">
        <x:v>reproducible validation</x:v>
      </x:c>
      <x:c r="I18" s="11" t="str">
        <x:v>source-linked lead</x:v>
      </x:c>
      <x:c r="J18" s="11" t="str">
        <x:v>https://doi.org/10.14722/ndss.2026.240094 | Paper pp. 1–5 (Abstract and design motivation), pp. 5–9 (semantic mutation workflow), pp. 8–14 (evaluation and case analysis), and p. 18 (Appendix B.2 findings table). | excerpt pages 1</x:v>
      </x:c>
      <x:c r="K18" s="11" t="str">
        <x:v>[p.1] Compared to four state-of-the-art BLE vulnerability detection tools, BSFuzzer achieved 9.34% higher code coverage and exposed a broader class of vulnerabilities, demonstrating its effectiveness in uncovering deep interpretation inconsistencies in BLE protocol implementations. [p.1] Among them, fuzzing has emerged as the most widely adopted and practically effective approach for exposing memory corruption bugs via crash-triggering Network and Distributed System Security (NDSS) Symposium 2026 23-27 February 2026, San Diego, CA, USA ISBN 979-8-9919276-8-0 https://dx.doi.org/10.14722/ndss.2026.240094 www.ndss-symposium.org</x:v>
      </x:c>
      <x:c r="L18" s="16" t="str">
        <x:v>A source-linked excerpt and locator are supplied as review leads; the cited source and locator should be retained for auditability.</x:v>
      </x:c>
      <x:c r="M18" s="16" t="str">
        <x:v>Select the observable result most directly supporting the main finding. Benchmark ground truth or aggregate CVE counts do not automatically establish externally traceable material.</x:v>
      </x:c>
      <x:c r="N18" s="16" t="str">
        <x:v>runtime safety signal</x:v>
      </x:c>
      <x:c r="O18" s="16" t="str">
        <x:v>The cited source supports the selected label runtime safety signal as the main observable result reported for the study.</x:v>
      </x:c>
      <x:c r="P18" s="16" t="str">
        <x:v>https://doi.org/10.14722/ndss.2026.240094 | Paper pp. 1–5 (Abstract and design motivation), pp. 5–9 (semantic mutation workflow), pp. 8–14 (evaluation and case analysis), and p. 18 (Appendix B.2 findings table). | excerpt pages 1</x:v>
      </x:c>
      <x:c r="Q18" s="16" t="str">
        <x:v>no</x:v>
      </x:c>
      <x:c r="R18" s="11" t="str"/>
      <x:c r="S18" s="11" t="str">
        <x:v>2026-08-12</x:v>
      </x:c>
      <x:c r="T18" s="18" t="str">
        <x:f>IF(OR(AND(N18="unresolved",LEN(O18)&gt;0,LEN(P18)&gt;0,Q18="yes"),AND(LEN(N18)&gt;0,LEN(O18)&gt;0,LEN(P18)&gt;0,OR(Q18="yes",Q18="no"))),"ready","pending")</x:f>
        <x:v>ready</x:v>
      </x:c>
    </x:row>
    <x:row r="19" ht="44" customHeight="1">
      <x:c r="A19" s="10" t="str">
        <x:v>C09__lifecycle</x:v>
      </x:c>
      <x:c r="B19" s="11" t="str">
        <x:v>C09</x:v>
      </x:c>
      <x:c r="C19" s="11" t="str">
        <x:v>released_67</x:v>
      </x:c>
      <x:c r="D19" s="11" t="str">
        <x:v>RFCAudit: AI Agent for Auditing Protocol Implementations Against RFC Specifications</x:v>
      </x:c>
      <x:c r="E19" s="11" t="str">
        <x:v>lifecycle coverage</x:v>
      </x:c>
      <x:c r="F19" s="11" t="str">
        <x:v>multi-label</x:v>
      </x:c>
      <x:c r="G19" s="11" t="str">
        <x:v>candidate analysis</x:v>
      </x:c>
      <x:c r="H19" s="11" t="str">
        <x:v>candidate analysis;reporting and audit</x:v>
      </x:c>
      <x:c r="I19" s="11" t="str">
        <x:v>source-linked lead</x:v>
      </x:c>
      <x:c r="J19" s="11" t="str">
        <x:v>https://ieeexplore.ieee.org/abstract/document/11334718 | Paper pp. 1–3 (Abstract/overview), pp. 4–7 (indexing and detection agents), pp. 7–9 (Table II and evaluation), and pp. 10–11 (case studies/validity). | excerpt pages 1</x:v>
      </x:c>
      <x:c r="K19" s="11" t="str">
        <x:v>[p.1] Inspired by the human auditing procedure, RFCA UDIT comprises two key com- ponents: an indexing agent and a detection agent. [p.1] RFCA UDIT : AI Agent for Auditing Protocol Implementations Against RFC Specifications Mingwei Zheng 1, Chengpeng Wang 1, Xuwei Liu 1, Jinyao Guo 1, Shiwei Feng 1,and Xiangyu Zhang 1 1Department of Computer Science, Purdue University, West Lafayette, USA Email: {zheng618, wang6590, liu2598, guo846, feng292, xyzhang }@purdue.edu Abstract—Functional correctness is critical for ensuring the reliability and security of network protocol implementations.</x:v>
      </x:c>
      <x:c r="L19" s="16" t="str">
        <x:v>A source-linked excerpt and locator are supplied as review leads; the cited source and locator should be retained for auditability.</x:v>
      </x:c>
      <x:c r="M19" s="16" t="str">
        <x:v>Mark only observable lifecycle actions or outputs. Reporting and audit requires explicit packaging, routing, disclosure, or audit transition; a report name alone is insufficient.</x:v>
      </x:c>
      <x:c r="N19" s="16" t="str">
        <x:v>candidate analysis</x:v>
      </x:c>
      <x:c r="O19" s="16" t="str">
        <x:v>The cited source supports the selected label candidate analysis; only observable workflow actions or outputs were retained.</x:v>
      </x:c>
      <x:c r="P19" s="16" t="str">
        <x:v>https://ieeexplore.ieee.org/abstract/document/11334718 | Paper pp. 1–3 (Abstract/overview), pp. 4–7 (indexing and detection agents), pp. 7–9 (Table II and evaluation), and pp. 10–11 (case studies/validity). | excerpt pages 1</x:v>
      </x:c>
      <x:c r="Q19" s="16" t="str">
        <x:v>no</x:v>
      </x:c>
      <x:c r="R19" s="11" t="str"/>
      <x:c r="S19" s="11" t="str">
        <x:v>2026-08-12</x:v>
      </x:c>
      <x:c r="T19" s="18" t="str">
        <x:f>IF(OR(AND(N19="unresolved",LEN(O19)&gt;0,LEN(P19)&gt;0,Q19="yes"),AND(LEN(N19)&gt;0,LEN(O19)&gt;0,LEN(P19)&gt;0,OR(Q19="yes",Q19="no"))),"ready","pending")</x:f>
        <x:v>ready</x:v>
      </x:c>
    </x:row>
    <x:row r="20" ht="44" customHeight="1">
      <x:c r="A20" s="10" t="str">
        <x:v>C10__lifecycle</x:v>
      </x:c>
      <x:c r="B20" s="11" t="str">
        <x:v>C10</x:v>
      </x:c>
      <x:c r="C20" s="11" t="str">
        <x:v>released_67</x:v>
      </x:c>
      <x:c r="D20" s="11" t="str">
        <x:v>VulAgent: a hypothesis validation-based multi-agent system for software vulnerability detection</x:v>
      </x:c>
      <x:c r="E20" s="11" t="str">
        <x:v>lifecycle coverage</x:v>
      </x:c>
      <x:c r="F20" s="11" t="str">
        <x:v>multi-label</x:v>
      </x:c>
      <x:c r="G20" s="11" t="str">
        <x:v>candidate analysis</x:v>
      </x:c>
      <x:c r="H20" s="11" t="str">
        <x:v>candidate analysis;reporting and audit</x:v>
      </x:c>
      <x:c r="I20" s="11" t="str">
        <x:v>source-linked lead</x:v>
      </x:c>
      <x:c r="J20" s="11" t="str">
        <x:v>https://arxiv.org/abs/2509.11523 | Paper pp. 1–2 (Abstract and paradigm), pp. 4–8 (agent workflow and report schema), pp. 9–16 (datasets, RQs and case study), and p. 17 (limitations). | excerpt pages 5, 1</x:v>
      </x:c>
      <x:c r="K20" s="11" t="str">
        <x:v>[p.5] Once activated, each agent 𝑎∈𝐴 𝑖 analyzes 𝑐𝑖 from its angle and emits a textual report𝑡𝑎 𝑖 (finding, trigger, and evidence). [p.1] The scale of this threat continues to rise: in the first quarter of 2022, the US National Vulnerability Database (NVD) disclosed 8,051 vulnerabilities, a 25% increase over the previous year [8], while a Synopsys OSSRA study reported that 81% of 2,409 analyzed codebases contained at least one known open-source vulnerability.</x:v>
      </x:c>
      <x:c r="L20" s="16" t="str">
        <x:v>A source-linked excerpt and locator are supplied as review leads; the cited source and locator should be retained for auditability.</x:v>
      </x:c>
      <x:c r="M20" s="16" t="str">
        <x:v>Mark only observable lifecycle actions or outputs. Reporting and audit requires explicit packaging, routing, disclosure, or audit transition; a report name alone is insufficient.</x:v>
      </x:c>
      <x:c r="N20" s="16" t="str">
        <x:v>candidate analysis</x:v>
      </x:c>
      <x:c r="O20" s="16" t="str">
        <x:v>The cited source supports the selected label candidate analysis; only observable workflow actions or outputs were retained.</x:v>
      </x:c>
      <x:c r="P20" s="16" t="str">
        <x:v>https://arxiv.org/abs/2509.11523 | Paper pp. 1–2 (Abstract and paradigm), pp. 4–8 (agent workflow and report schema), pp. 9–16 (datasets, RQs and case study), and p. 17 (limitations). | excerpt pages 5, 1</x:v>
      </x:c>
      <x:c r="Q20" s="16" t="str">
        <x:v>no</x:v>
      </x:c>
      <x:c r="R20" s="11" t="str"/>
      <x:c r="S20" s="11" t="str">
        <x:v>2026-08-12</x:v>
      </x:c>
      <x:c r="T20" s="18" t="str">
        <x:f>IF(OR(AND(N20="unresolved",LEN(O20)&gt;0,LEN(P20)&gt;0,Q20="yes"),AND(LEN(N20)&gt;0,LEN(O20)&gt;0,LEN(P20)&gt;0,OR(Q20="yes",Q20="no"))),"ready","pending")</x:f>
        <x:v>ready</x:v>
      </x:c>
    </x:row>
    <x:row r="21" ht="44" customHeight="1">
      <x:c r="A21" s="10" t="str">
        <x:v>C10__capability</x:v>
      </x:c>
      <x:c r="B21" s="11" t="str">
        <x:v>C10</x:v>
      </x:c>
      <x:c r="C21" s="11" t="str">
        <x:v>released_67</x:v>
      </x:c>
      <x:c r="D21" s="11" t="str">
        <x:v>VulAgent: a hypothesis validation-based multi-agent system for software vulnerability detection</x:v>
      </x:c>
      <x:c r="E21" s="11" t="str">
        <x:v>cross-stage capability</x:v>
      </x:c>
      <x:c r="F21" s="11" t="str">
        <x:v>multi-label</x:v>
      </x:c>
      <x:c r="G21" s="11" t="str">
        <x:v>context aggregation / rule extraction;tool routing / strategy routing</x:v>
      </x:c>
      <x:c r="H21" s="11" t="str">
        <x:v>context aggregation / rule extraction;tool routing / strategy routing;validation organization / evidence packaging</x:v>
      </x:c>
      <x:c r="I21" s="11" t="str">
        <x:v>source-linked lead</x:v>
      </x:c>
      <x:c r="J21" s="11" t="str">
        <x:v>https://arxiv.org/abs/2509.11523 | Paper pp. 1–2 (Abstract and paradigm), pp. 4–8 (agent workflow and report schema), pp. 9–16 (datasets, RQs and case study), and p. 17 (limitations). | excerpt pages 1, 4</x:v>
      </x:c>
      <x:c r="K21" s="11" t="str">
        <x:v>[p.1] Building on this, VulAgent adopts a hypothesis-validation paradigm: for each vulnerability report, it builds hypothesis conditions and a trigger path, steering the LLM to target the relevant program context and defensive checks during verification, which reduces false positives. [p.4] The framework of VulAgent, which coordinates multiple specialized agents for vulnerability detection, aggregates their reports into vulnerability hypotheses, and then performs hypotheses validation with program context. (pointer arithmetic and buffer boundaries).</x:v>
      </x:c>
      <x:c r="L21" s="16" t="str">
        <x:v>A source-linked excerpt and locator are supplied as review leads; the cited source and locator should be retained for auditability.</x:v>
      </x:c>
      <x:c r="M21" s="16" t="str">
        <x:v>Require an explicit cross-stage connection. Information must guide later action; feedback must alter later action; packaging must assemble prior outputs; governance must enforce an actual gate.</x:v>
      </x:c>
      <x:c r="N21" s="16" t="str">
        <x:v>context aggregation / rule extraction;tool routing / strategy routing</x:v>
      </x:c>
      <x:c r="O21" s="16" t="str">
        <x:v>The cited source supports the selected label context aggregation / rule extraction;tool routing / strategy routing; each retained label requires an explicit connection that guides later action, feedback, packaging, or a gate.</x:v>
      </x:c>
      <x:c r="P21" s="16" t="str">
        <x:v>https://arxiv.org/abs/2509.11523 | Paper pp. 1–2 (Abstract and paradigm), pp. 4–8 (agent workflow and report schema), pp. 9–16 (datasets, RQs and case study), and p. 17 (limitations). | excerpt pages 1, 4</x:v>
      </x:c>
      <x:c r="Q21" s="16" t="str">
        <x:v>no</x:v>
      </x:c>
      <x:c r="R21" s="11" t="str"/>
      <x:c r="S21" s="11" t="str">
        <x:v>2026-08-12</x:v>
      </x:c>
      <x:c r="T21" s="18" t="str">
        <x:f>IF(OR(AND(N21="unresolved",LEN(O21)&gt;0,LEN(P21)&gt;0,Q21="yes"),AND(LEN(N21)&gt;0,LEN(O21)&gt;0,LEN(P21)&gt;0,OR(Q21="yes",Q21="no"))),"ready","pending")</x:f>
        <x:v>ready</x:v>
      </x:c>
    </x:row>
    <x:row r="22" ht="44" customHeight="1">
      <x:c r="A22" s="10" t="str">
        <x:v>C10__external_traceability</x:v>
      </x:c>
      <x:c r="B22" s="11" t="str">
        <x:v>C10</x:v>
      </x:c>
      <x:c r="C22" s="11" t="str">
        <x:v>released_67</x:v>
      </x:c>
      <x:c r="D22" s="11" t="str">
        <x:v>VulAgent: a hypothesis validation-based multi-agent system for software vulnerability detection</x:v>
      </x:c>
      <x:c r="E22" s="11" t="str">
        <x:v>external traceability</x:v>
      </x:c>
      <x:c r="F22" s="11" t="str">
        <x:v>single-label</x:v>
      </x:c>
      <x:c r="G22" s="11" t="str">
        <x:v>no external trace reported</x:v>
      </x:c>
      <x:c r="H22" s="11" t="str">
        <x:v>benchmark ground truth / public material</x:v>
      </x:c>
      <x:c r="I22" s="11" t="str">
        <x:v>source-linked lead</x:v>
      </x:c>
      <x:c r="J22" s="11" t="str">
        <x:v>https://arxiv.org/abs/2509.11523 | Paper pp. 1–2 (Abstract and paradigm), pp. 4–8 (agent workflow and report schema), pp. 9–16 (datasets, RQs and case study), and p. 17 (limitations). | excerpt pages 9, 17</x:v>
      </x:c>
      <x:c r="K22" s="11" t="str">
        <x:v>[p.9] All datasets follow publicly available splits. [p.17] 6 DISCUSSION Threats.First, our evaluation relies on public datasets (PrimeVul, SVEN) and their pair-wise labels; any label noise or imperfect fix mapping can bias results.</x:v>
      </x:c>
      <x:c r="L22" s="16" t="str">
        <x:v>A source-linked excerpt and locator are supplied as review leads; the cited source and locator should be retained for auditability.</x:v>
      </x:c>
      <x:c r="M22" s="16" t="str">
        <x:v>Code separately from principal output. Only item-level alignment between a concrete system result and a specific public external record qualifies as publicly aligned external trace.</x:v>
      </x:c>
      <x:c r="N22" s="16" t="str">
        <x:v>no external trace reported</x:v>
      </x:c>
      <x:c r="O22" s="16" t="str">
        <x:v>The cited source supports the selected label no external trace reported under the codebook's item-level public-record alignment criterion.</x:v>
      </x:c>
      <x:c r="P22" s="16" t="str">
        <x:v>https://arxiv.org/abs/2509.11523 | Paper pp. 1–2 (Abstract and paradigm), pp. 4–8 (agent workflow and report schema), pp. 9–16 (datasets, RQs and case study), and p. 17 (limitations). | excerpt pages 9, 17</x:v>
      </x:c>
      <x:c r="Q22" s="16" t="str">
        <x:v>no</x:v>
      </x:c>
      <x:c r="R22" s="11" t="str"/>
      <x:c r="S22" s="11" t="str">
        <x:v>2026-08-12</x:v>
      </x:c>
      <x:c r="T22" s="18" t="str">
        <x:f>IF(OR(AND(N22="unresolved",LEN(O22)&gt;0,LEN(P22)&gt;0,Q22="yes"),AND(LEN(N22)&gt;0,LEN(O22)&gt;0,LEN(P22)&gt;0,OR(Q22="yes",Q22="no"))),"ready","pending")</x:f>
        <x:v>ready</x:v>
      </x:c>
    </x:row>
    <x:row r="23" ht="44" customHeight="1">
      <x:c r="A23" s="10" t="str">
        <x:v>C11__lifecycle</x:v>
      </x:c>
      <x:c r="B23" s="11" t="str">
        <x:v>C11</x:v>
      </x:c>
      <x:c r="C23" s="11" t="str">
        <x:v>released_67</x:v>
      </x:c>
      <x:c r="D23" s="11" t="str">
        <x:v>MALF: a multi-agent LLM framework for intelligent fuzzing of industrial control protocols</x:v>
      </x:c>
      <x:c r="E23" s="11" t="str">
        <x:v>lifecycle coverage</x:v>
      </x:c>
      <x:c r="F23" s="11" t="str">
        <x:v>multi-label</x:v>
      </x:c>
      <x:c r="G23" s="11" t="str">
        <x:v>execution observation;path and input exploration</x:v>
      </x:c>
      <x:c r="H23" s="11" t="str">
        <x:v>candidate analysis;execution observation;path and input exploration;reporting and audit;reproduction and validation</x:v>
      </x:c>
      <x:c r="I23" s="11" t="str">
        <x:v>source-linked lead</x:v>
      </x:c>
      <x:c r="J23" s="11" t="str">
        <x:v>https://arxiv.org/abs/2510.02694 | Paper pp. 1–10 (architecture/workflows), pp. 11–18 (evaluation), and pp. 18–19 (Table 5, CNVD-2024-16009 and Figure 13). | excerpt pages 4, 1</x:v>
      </x:c>
      <x:c r="K23" s="11" t="str">
        <x:v>[p.4] 1, MALF integrates four core components—Seed Generation Agent, Test Case Generation Agent, Feedback Analysis Agent, and Communication Interaction Module—to generate diverse test inputs, optimize testing strategies, and refine vulnerability detection in real time. [p.1] For instance, Modbus/TCP lacks native encryption, making it susceptible to man-in-the-middle attacks, while OPC UA’s complex metadata structures create parsing vulnerabilities exploitable via malformed packets.</x:v>
      </x:c>
      <x:c r="L23" s="16" t="str">
        <x:v>A source-linked excerpt and locator are supplied as review leads; the cited source and locator should be retained for auditability.</x:v>
      </x:c>
      <x:c r="M23" s="16" t="str">
        <x:v>Mark only observable lifecycle actions or outputs. Reporting and audit requires explicit packaging, routing, disclosure, or audit transition; a report name alone is insufficient.</x:v>
      </x:c>
      <x:c r="N23" s="16" t="str">
        <x:v>path and input exploration;execution observation</x:v>
      </x:c>
      <x:c r="O23" s="16" t="str">
        <x:v>The cited source supports the selected label path and input exploration;execution observation; only observable workflow actions or outputs were retained.</x:v>
      </x:c>
      <x:c r="P23" s="16" t="str">
        <x:v>https://arxiv.org/abs/2510.02694 | Paper pp. 1–10 (architecture/workflows), pp. 11–18 (evaluation), and pp. 18–19 (Table 5, CNVD-2024-16009 and Figure 13). | excerpt pages 4, 1</x:v>
      </x:c>
      <x:c r="Q23" s="16" t="str">
        <x:v>no</x:v>
      </x:c>
      <x:c r="R23" s="11" t="str"/>
      <x:c r="S23" s="11" t="str">
        <x:v>2026-08-12</x:v>
      </x:c>
      <x:c r="T23" s="18" t="str">
        <x:f>IF(OR(AND(N23="unresolved",LEN(O23)&gt;0,LEN(P23)&gt;0,Q23="yes"),AND(LEN(N23)&gt;0,LEN(O23)&gt;0,LEN(P23)&gt;0,OR(Q23="yes",Q23="no"))),"ready","pending")</x:f>
        <x:v>ready</x:v>
      </x:c>
    </x:row>
    <x:row r="24" ht="44" customHeight="1">
      <x:c r="A24" s="10" t="str">
        <x:v>C11__principal_evidence</x:v>
      </x:c>
      <x:c r="B24" s="11" t="str">
        <x:v>C11</x:v>
      </x:c>
      <x:c r="C24" s="11" t="str">
        <x:v>released_67</x:v>
      </x:c>
      <x:c r="D24" s="11" t="str">
        <x:v>MALF: a multi-agent LLM framework for intelligent fuzzing of industrial control protocols</x:v>
      </x:c>
      <x:c r="E24" s="11" t="str">
        <x:v>principal reported evidence output</x:v>
      </x:c>
      <x:c r="F24" s="11" t="str">
        <x:v>single-label</x:v>
      </x:c>
      <x:c r="G24" s="11" t="str">
        <x:v>runtime safety signal</x:v>
      </x:c>
      <x:c r="H24" s="11" t="str">
        <x:v>externally traceable material</x:v>
      </x:c>
      <x:c r="I24" s="11" t="str">
        <x:v>source-linked lead</x:v>
      </x:c>
      <x:c r="J24" s="11" t="str">
        <x:v>https://arxiv.org/abs/2510.02694 | Paper pp. 1–10 (architecture/workflows), pp. 11–18 (evaluation), and pp. 18–19 (Table 5, CNVD-2024-16009 and Figure 13). | excerpt pages 5, 19</x:v>
      </x:c>
      <x:c r="K24" s="11" t="str">
        <x:v>[p.5] In MALF, RAG retrieves information (e.g., command structures, field formats, vendor-specific constraints) from structured ICP documents (e.g., Modbus/TCP, S7, Ethernet/IP) and vulnerability databases (e.g., CVE, CNVD). [p.19] Device Vulnerability Description Security Issue Reference SIEMENS S7-300 Denial of Service Vulnera- bility Device crashed CVE-2016-3949 Input Validation Vulnerabil- ity Device crashed CVE-2015-2177 Controller Password Protec- tion Vulnerability Device access compro- mised CVE-2015-0004 Plaintext Unverified Proto- col Vulnerability Data leakage or device ex- posure CVE-2015-0019 PLC Memory Read/Write Vulnerability Device memory corrupted CVE-2015-0015 I/O Module Stoppage Device functionality dis- rupted Under review SIEMENS S7-1200 CPU Device CRLF Injec- tion Vulnerability Device crashed CVE-2014-2909 CPU Device Cross-Site Scripting (XSS) Device compromised CVE-2014-2908 Network Server Cross-</x:v>
      </x:c>
      <x:c r="L24" s="16" t="str">
        <x:v>A source-linked excerpt and locator are supplied as review leads; the cited source and locator should be retained for auditability.</x:v>
      </x:c>
      <x:c r="M24" s="16" t="str">
        <x:v>Select the observable result most directly supporting the main finding. Benchmark ground truth or aggregate CVE counts do not automatically establish externally traceable material.</x:v>
      </x:c>
      <x:c r="N24" s="16" t="str">
        <x:v>runtime safety signal</x:v>
      </x:c>
      <x:c r="O24" s="16" t="str">
        <x:v>The cited source supports the selected label runtime safety signal as the main observable result reported for the study.</x:v>
      </x:c>
      <x:c r="P24" s="16" t="str">
        <x:v>https://arxiv.org/abs/2510.02694 | Paper pp. 1–10 (architecture/workflows), pp. 11–18 (evaluation), and pp. 18–19 (Table 5, CNVD-2024-16009 and Figure 13). | excerpt pages 5, 19</x:v>
      </x:c>
      <x:c r="Q24" s="16" t="str">
        <x:v>no</x:v>
      </x:c>
      <x:c r="R24" s="11" t="str"/>
      <x:c r="S24" s="11" t="str">
        <x:v>2026-08-12</x:v>
      </x:c>
      <x:c r="T24" s="18" t="str">
        <x:f>IF(OR(AND(N24="unresolved",LEN(O24)&gt;0,LEN(P24)&gt;0,Q24="yes"),AND(LEN(N24)&gt;0,LEN(O24)&gt;0,LEN(P24)&gt;0,OR(Q24="yes",Q24="no"))),"ready","pending")</x:f>
        <x:v>ready</x:v>
      </x:c>
    </x:row>
    <x:row r="25" ht="44" customHeight="1">
      <x:c r="A25" s="10" t="str">
        <x:v>C11__external_traceability</x:v>
      </x:c>
      <x:c r="B25" s="11" t="str">
        <x:v>C11</x:v>
      </x:c>
      <x:c r="C25" s="11" t="str">
        <x:v>released_67</x:v>
      </x:c>
      <x:c r="D25" s="11" t="str">
        <x:v>MALF: a multi-agent LLM framework for intelligent fuzzing of industrial control protocols</x:v>
      </x:c>
      <x:c r="E25" s="11" t="str">
        <x:v>external traceability</x:v>
      </x:c>
      <x:c r="F25" s="11" t="str">
        <x:v>single-label</x:v>
      </x:c>
      <x:c r="G25" s="11" t="str">
        <x:v>author-reported external clue</x:v>
      </x:c>
      <x:c r="H25" s="11" t="str">
        <x:v>publicly aligned external trace</x:v>
      </x:c>
      <x:c r="I25" s="11" t="str">
        <x:v>source-linked lead</x:v>
      </x:c>
      <x:c r="J25" s="11" t="str">
        <x:v>https://arxiv.org/abs/2510.02694 | Paper pp. 1–10 (architecture/workflows), pp. 11–18 (evaluation), and pp. 18–19 (Table 5, CNVD-2024-16009 and Figure 13). | excerpt pages 5, 18</x:v>
      </x:c>
      <x:c r="K25" s="11" t="str">
        <x:v>[p.5] In MALF, RAG retrieves information (e.g., command structures, field formats, vendor-specific constraints) from structured ICP documents (e.g., Modbus/TCP, S7, Ethernet/IP) and vulnerability databases (e.g., CVE, CNVD). [p.18] One of these zero-day issues, later confirmed as CNVD-2024-16009, was reported to the Chinese National Vulnerability Database (CNVD).</x:v>
      </x:c>
      <x:c r="L25" s="16" t="str">
        <x:v>A source-linked excerpt and locator are supplied as review leads; the cited source and locator should be retained for auditability.</x:v>
      </x:c>
      <x:c r="M25" s="16" t="str">
        <x:v>Code separately from principal output. Only item-level alignment between a concrete system result and a specific public external record qualifies as publicly aligned external trace.</x:v>
      </x:c>
      <x:c r="N25" s="16" t="str">
        <x:v>author-reported external clue</x:v>
      </x:c>
      <x:c r="O25" s="16" t="str">
        <x:v>The cited source supports the selected label author-reported external clue under the codebook's item-level public-record alignment criterion.</x:v>
      </x:c>
      <x:c r="P25" s="16" t="str">
        <x:v>https://arxiv.org/abs/2510.02694 | Paper pp. 1–10 (architecture/workflows), pp. 11–18 (evaluation), and pp. 18–19 (Table 5, CNVD-2024-16009 and Figure 13). | excerpt pages 5, 18</x:v>
      </x:c>
      <x:c r="Q25" s="16" t="str">
        <x:v>no</x:v>
      </x:c>
      <x:c r="R25" s="11" t="str"/>
      <x:c r="S25" s="11" t="str">
        <x:v>2026-08-12</x:v>
      </x:c>
      <x:c r="T25" s="18" t="str">
        <x:f>IF(OR(AND(N25="unresolved",LEN(O25)&gt;0,LEN(P25)&gt;0,Q25="yes"),AND(LEN(N25)&gt;0,LEN(O25)&gt;0,LEN(P25)&gt;0,OR(Q25="yes",Q25="no"))),"ready","pending")</x:f>
        <x:v>ready</x:v>
      </x:c>
    </x:row>
    <x:row r="26" ht="44" customHeight="1">
      <x:c r="A26" s="10" t="str">
        <x:v>C12__lifecycle</x:v>
      </x:c>
      <x:c r="B26" s="11" t="str">
        <x:v>C12</x:v>
      </x:c>
      <x:c r="C26" s="11" t="str">
        <x:v>released_67</x:v>
      </x:c>
      <x:c r="D26" s="11" t="str">
        <x:v>NeTestLLM: automated network protocol testing with LLM agents</x:v>
      </x:c>
      <x:c r="E26" s="11" t="str">
        <x:v>lifecycle coverage</x:v>
      </x:c>
      <x:c r="F26" s="11" t="str">
        <x:v>multi-label</x:v>
      </x:c>
      <x:c r="G26" s="11" t="str">
        <x:v>execution observation;path and input exploration;reporting and audit</x:v>
      </x:c>
      <x:c r="H26" s="11" t="str">
        <x:v>candidate analysis;execution observation;path and input exploration;reporting and audit;reproduction and validation</x:v>
      </x:c>
      <x:c r="I26" s="11" t="str">
        <x:v>source-linked lead</x:v>
      </x:c>
      <x:c r="J26" s="11" t="str">
        <x:v>https://arxiv.org/abs/2510.13248 | Paper pp. 1–3 (Abstract/workflow), pp. 4–8 (hierarchical understanding, generation and correction loops), and pp. 8–12 (evaluation and case study). | excerpt pages 6, 1</x:v>
      </x:c>
      <x:c r="K26" s="11" t="str">
        <x:v>[p.6] Based on the testing importance and section classification from the high-level protocol analysis results (§ 4.1), we design a threshold-based method to evaluate important sections. [p.1] NeTestLLM employs hierarchical protocol understanding to capture complex specifications, iterative test case generation to improve coverage, a task-specific work- flow for executable artifact generation, and runtime feedback analysis for debugging and refinement.</x:v>
      </x:c>
      <x:c r="L26" s="16" t="str">
        <x:v>A source-linked excerpt and locator are supplied as review leads; the cited source and locator should be retained for auditability.</x:v>
      </x:c>
      <x:c r="M26" s="16" t="str">
        <x:v>Mark only observable lifecycle actions or outputs. Reporting and audit requires explicit packaging, routing, disclosure, or audit transition; a report name alone is insufficient.</x:v>
      </x:c>
      <x:c r="N26" s="16" t="str">
        <x:v>path and input exploration;execution observation;reporting and audit</x:v>
      </x:c>
      <x:c r="O26" s="16" t="str">
        <x:v>The cited source supports the selected label path and input exploration;execution observation;reporting and audit; only observable workflow actions or outputs were retained.</x:v>
      </x:c>
      <x:c r="P26" s="16" t="str">
        <x:v>https://arxiv.org/abs/2510.13248 | Paper pp. 1–3 (Abstract/workflow), pp. 4–8 (hierarchical understanding, generation and correction loops), and pp. 8–12 (evaluation and case study). | excerpt pages 6, 1</x:v>
      </x:c>
      <x:c r="Q26" s="16" t="str">
        <x:v>no</x:v>
      </x:c>
      <x:c r="R26" s="11" t="str"/>
      <x:c r="S26" s="11" t="str">
        <x:v>2026-08-12</x:v>
      </x:c>
      <x:c r="T26" s="18" t="str">
        <x:f>IF(OR(AND(N26="unresolved",LEN(O26)&gt;0,LEN(P26)&gt;0,Q26="yes"),AND(LEN(N26)&gt;0,LEN(O26)&gt;0,LEN(P26)&gt;0,OR(Q26="yes",Q26="no"))),"ready","pending")</x:f>
        <x:v>ready</x:v>
      </x:c>
    </x:row>
    <x:row r="27" ht="44" customHeight="1">
      <x:c r="A27" s="10" t="str">
        <x:v>C12__capability</x:v>
      </x:c>
      <x:c r="B27" s="11" t="str">
        <x:v>C12</x:v>
      </x:c>
      <x:c r="C27" s="11" t="str">
        <x:v>released_67</x:v>
      </x:c>
      <x:c r="D27" s="11" t="str">
        <x:v>NeTestLLM: automated network protocol testing with LLM agents</x:v>
      </x:c>
      <x:c r="E27" s="11" t="str">
        <x:v>cross-stage capability</x:v>
      </x:c>
      <x:c r="F27" s="11" t="str">
        <x:v>multi-label</x:v>
      </x:c>
      <x:c r="G27" s="11" t="str">
        <x:v>context aggregation / rule extraction;feedback interpretation / loop adjustment;long-horizon state management;tool routing / strategy routing;validation organization / evidence packaging</x:v>
      </x:c>
      <x:c r="H27" s="11" t="str">
        <x:v>context aggregation / rule extraction;failure reuse / strategy update;feedback interpretation / loop adjustment;long-horizon state management;tool routing / strategy routing;validation organization / evidence packaging</x:v>
      </x:c>
      <x:c r="I27" s="11" t="str">
        <x:v>source-linked lead</x:v>
      </x:c>
      <x:c r="J27" s="11" t="str">
        <x:v>https://arxiv.org/abs/2510.13248 | Paper pp. 1–3 (Abstract/workflow), pp. 4–8 (hierarchical understanding, generation and correction loops), and pp. 8–12 (evaluation and case study). | excerpt pages 8, 1</x:v>
      </x:c>
      <x:c r="K27" s="11" t="str">
        <x:v>[p.8] Following prior work [42], we enable each sub-agent to learn from both successes and failures during iterative tasks andcontinuously updateits prompt templates or experience pools. [p.1] Protocol standards are continuously updated by stan- dardization organizations such as the IETF, IEEE, and by industry alliances.</x:v>
      </x:c>
      <x:c r="L27" s="16" t="str">
        <x:v>A source-linked excerpt and locator are supplied as review leads; the cited source and locator should be retained for auditability.</x:v>
      </x:c>
      <x:c r="M27" s="16" t="str">
        <x:v>Require an explicit cross-stage connection. Information must guide later action; feedback must alter later action; packaging must assemble prior outputs; governance must enforce an actual gate.</x:v>
      </x:c>
      <x:c r="N27" s="16" t="str">
        <x:v>context aggregation / rule extraction;tool routing / strategy routing;feedback interpretation / loop adjustment;validation organization / evidence packaging;long-horizon state management</x:v>
      </x:c>
      <x:c r="O27" s="16" t="str">
        <x:v>The cited source supports the selected label context aggregation / rule extraction;tool routing / strategy routing;feedback interpretation / loop adjustment;validation organization / evidence packaging;long-horizon state management; each retained label requires an explicit connection that guides later action, feedback, packaging, or a gate.</x:v>
      </x:c>
      <x:c r="P27" s="16" t="str">
        <x:v>https://arxiv.org/abs/2510.13248 | Paper pp. 1–3 (Abstract/workflow), pp. 4–8 (hierarchical understanding, generation and correction loops), and pp. 8–12 (evaluation and case study). | excerpt pages 8, 1</x:v>
      </x:c>
      <x:c r="Q27" s="16" t="str">
        <x:v>no</x:v>
      </x:c>
      <x:c r="R27" s="11" t="str"/>
      <x:c r="S27" s="11" t="str">
        <x:v>2026-08-12</x:v>
      </x:c>
      <x:c r="T27" s="18" t="str">
        <x:f>IF(OR(AND(N27="unresolved",LEN(O27)&gt;0,LEN(P27)&gt;0,Q27="yes"),AND(LEN(N27)&gt;0,LEN(O27)&gt;0,LEN(P27)&gt;0,OR(Q27="yes",Q27="no"))),"ready","pending")</x:f>
        <x:v>ready</x:v>
      </x:c>
    </x:row>
    <x:row r="28" ht="44" customHeight="1">
      <x:c r="A28" s="10" t="str">
        <x:v>C12__primary_shape</x:v>
      </x:c>
      <x:c r="B28" s="11" t="str">
        <x:v>C12</x:v>
      </x:c>
      <x:c r="C28" s="11" t="str">
        <x:v>released_67</x:v>
      </x:c>
      <x:c r="D28" s="11" t="str">
        <x:v>NeTestLLM: automated network protocol testing with LLM agents</x:v>
      </x:c>
      <x:c r="E28" s="11" t="str">
        <x:v>primary system shape</x:v>
      </x:c>
      <x:c r="F28" s="11" t="str">
        <x:v>single-label</x:v>
      </x:c>
      <x:c r="G28" s="11" t="str">
        <x:v>feedback-driven fuzzing agent</x:v>
      </x:c>
      <x:c r="H28" s="11" t="str">
        <x:v>long-horizon pentest and CRS agent</x:v>
      </x:c>
      <x:c r="I28" s="11" t="str">
        <x:v>source-linked lead</x:v>
      </x:c>
      <x:c r="J28" s="11" t="str">
        <x:v>https://arxiv.org/abs/2510.13248 | Paper pp. 1–3 (Abstract/workflow), pp. 4–8 (hierarchical understanding, generation and correction loops), and pp. 8–12 (evaluation and case study). | excerpt pages 6, 12</x:v>
      </x:c>
      <x:c r="K28" s="11" t="str">
        <x:v>[p.6] In practice, we focus on improving coverage, while correctness is indirectly validated through subsequent code generation, execution, and refinement via thelarge loopfeedback mechanism. [p.12] For example, ChatAFL [30] leverages LLMs to augment existing mutation-based protocol fuzzing, and PenTestGPT [15] automates end-to-end penetration testing with a multi-module LLM architecture.</x:v>
      </x:c>
      <x:c r="L28" s="16" t="str">
        <x:v>A source-linked excerpt and locator are supplied as review leads; the cited source and locator should be retained for auditability.</x:v>
      </x:c>
      <x:c r="M28" s="16" t="str">
        <x:v>Choose the dominant locus and objective of agent control in the main evaluated contribution. Use the evaluation task and primary metrics to resolve ties; do not infer from agent count or system name.</x:v>
      </x:c>
      <x:c r="N28" s="16" t="str">
        <x:v>feedback-driven fuzzing agent</x:v>
      </x:c>
      <x:c r="O28" s="16" t="str">
        <x:v>The cited source supports the selected label feedback-driven fuzzing agent as the dominant evaluated locus and objective of agent control.</x:v>
      </x:c>
      <x:c r="P28" s="16" t="str">
        <x:v>https://arxiv.org/abs/2510.13248 | Paper pp. 1–3 (Abstract/workflow), pp. 4–8 (hierarchical understanding, generation and correction loops), and pp. 8–12 (evaluation and case study). | excerpt pages 6, 12</x:v>
      </x:c>
      <x:c r="Q28" s="16" t="str">
        <x:v>no</x:v>
      </x:c>
      <x:c r="R28" s="11" t="str"/>
      <x:c r="S28" s="11" t="str">
        <x:v>2026-08-12</x:v>
      </x:c>
      <x:c r="T28" s="18" t="str">
        <x:f>IF(OR(AND(N28="unresolved",LEN(O28)&gt;0,LEN(P28)&gt;0,Q28="yes"),AND(LEN(N28)&gt;0,LEN(O28)&gt;0,LEN(P28)&gt;0,OR(Q28="yes",Q28="no"))),"ready","pending")</x:f>
        <x:v>ready</x:v>
      </x:c>
    </x:row>
    <x:row r="29" ht="44" customHeight="1">
      <x:c r="A29" s="10" t="str">
        <x:v>C12__principal_evidence</x:v>
      </x:c>
      <x:c r="B29" s="11" t="str">
        <x:v>C12</x:v>
      </x:c>
      <x:c r="C29" s="11" t="str">
        <x:v>released_67</x:v>
      </x:c>
      <x:c r="D29" s="11" t="str">
        <x:v>NeTestLLM: automated network protocol testing with LLM agents</x:v>
      </x:c>
      <x:c r="E29" s="11" t="str">
        <x:v>principal reported evidence output</x:v>
      </x:c>
      <x:c r="F29" s="11" t="str">
        <x:v>single-label</x:v>
      </x:c>
      <x:c r="G29" s="11" t="str">
        <x:v>runtime safety signal</x:v>
      </x:c>
      <x:c r="H29" s="11" t="str">
        <x:v>controlled task completion</x:v>
      </x:c>
      <x:c r="I29" s="11" t="str">
        <x:v>source-linked lead</x:v>
      </x:c>
      <x:c r="J29" s="11" t="str">
        <x:v>https://arxiv.org/abs/2510.13248 | Paper pp. 1–3 (Abstract/workflow), pp. 4–8 (hierarchical understanding, generation and correction loops), and pp. 8–12 (evaluation and case study). | excerpt pages 1, 2</x:v>
      </x:c>
      <x:c r="K29" s="11" t="str">
        <x:v>[p.1] NeTestLLM employs hierarchical protocol understanding to capture complex specifications, iterative test case generation to improve coverage, a task-specific work- flow for executable artifact generation, and runtime feedback analysis for debugging and refinement. [p.2] to improve coverage, task-specific workflow for executable ar- tifact generation, and runtime feedback analysis for debugging and refinement.</x:v>
      </x:c>
      <x:c r="L29" s="16" t="str">
        <x:v>A source-linked excerpt and locator are supplied as review leads; the cited source and locator should be retained for auditability.</x:v>
      </x:c>
      <x:c r="M29" s="16" t="str">
        <x:v>Select the observable result most directly supporting the main finding. Benchmark ground truth or aggregate CVE counts do not automatically establish externally traceable material.</x:v>
      </x:c>
      <x:c r="N29" s="16" t="str">
        <x:v>runtime safety signal</x:v>
      </x:c>
      <x:c r="O29" s="16" t="str">
        <x:v>The cited source supports the selected label runtime safety signal as the main observable result reported for the study.</x:v>
      </x:c>
      <x:c r="P29" s="16" t="str">
        <x:v>https://arxiv.org/abs/2510.13248 | Paper pp. 1–3 (Abstract/workflow), pp. 4–8 (hierarchical understanding, generation and correction loops), and pp. 8–12 (evaluation and case study). | excerpt pages 1, 2</x:v>
      </x:c>
      <x:c r="Q29" s="16" t="str">
        <x:v>no</x:v>
      </x:c>
      <x:c r="R29" s="11" t="str"/>
      <x:c r="S29" s="11" t="str">
        <x:v>2026-08-12</x:v>
      </x:c>
      <x:c r="T29" s="18" t="str">
        <x:f>IF(OR(AND(N29="unresolved",LEN(O29)&gt;0,LEN(P29)&gt;0,Q29="yes"),AND(LEN(N29)&gt;0,LEN(O29)&gt;0,LEN(P29)&gt;0,OR(Q29="yes",Q29="no"))),"ready","pending")</x:f>
        <x:v>ready</x:v>
      </x:c>
    </x:row>
    <x:row r="30" ht="44" customHeight="1">
      <x:c r="A30" s="10" t="str">
        <x:v>C12__external_traceability</x:v>
      </x:c>
      <x:c r="B30" s="11" t="str">
        <x:v>C12</x:v>
      </x:c>
      <x:c r="C30" s="11" t="str">
        <x:v>released_67</x:v>
      </x:c>
      <x:c r="D30" s="11" t="str">
        <x:v>NeTestLLM: automated network protocol testing with LLM agents</x:v>
      </x:c>
      <x:c r="E30" s="11" t="str">
        <x:v>external traceability</x:v>
      </x:c>
      <x:c r="F30" s="11" t="str">
        <x:v>single-label</x:v>
      </x:c>
      <x:c r="G30" s="11" t="str">
        <x:v>no external trace reported</x:v>
      </x:c>
      <x:c r="H30" s="11" t="str">
        <x:v>benchmark ground truth / public material</x:v>
      </x:c>
      <x:c r="I30" s="11" t="str">
        <x:v>source-linked lead</x:v>
      </x:c>
      <x:c r="J30" s="11" t="str">
        <x:v>https://arxiv.org/abs/2510.13248 | Paper pp. 1–3 (Abstract/workflow), pp. 4–8 (hierarchical understanding, generation and correction loops), and pp. 8–12 (evaluation and case study). | excerpt pages 2, 1</x:v>
      </x:c>
      <x:c r="K30" s="11" t="str">
        <x:v>[p.2] Generating executable artifacts (§ 6).Generating exe- cutable artifacts such as tester scripts and DUT configurations requires private domain knowledge and vendor-specific exper- tise that LLMs do not inherently possess. [p.1] This process necessitates close coordination among service purchasers, tester providers, and DUT vendors.</x:v>
      </x:c>
      <x:c r="L30" s="16" t="str">
        <x:v>A source-linked excerpt and locator are supplied as review leads; the cited source and locator should be retained for auditability.</x:v>
      </x:c>
      <x:c r="M30" s="16" t="str">
        <x:v>Code separately from principal output. Only item-level alignment between a concrete system result and a specific public external record qualifies as publicly aligned external trace.</x:v>
      </x:c>
      <x:c r="N30" s="16" t="str">
        <x:v>no external trace reported</x:v>
      </x:c>
      <x:c r="O30" s="16" t="str">
        <x:v>The cited source supports the selected label no external trace reported under the codebook's item-level public-record alignment criterion.</x:v>
      </x:c>
      <x:c r="P30" s="16" t="str">
        <x:v>https://arxiv.org/abs/2510.13248 | Paper pp. 1–3 (Abstract/workflow), pp. 4–8 (hierarchical understanding, generation and correction loops), and pp. 8–12 (evaluation and case study). | excerpt pages 2, 1</x:v>
      </x:c>
      <x:c r="Q30" s="16" t="str">
        <x:v>no</x:v>
      </x:c>
      <x:c r="R30" s="11" t="str"/>
      <x:c r="S30" s="11" t="str">
        <x:v>2026-08-12</x:v>
      </x:c>
      <x:c r="T30" s="18" t="str">
        <x:f>IF(OR(AND(N30="unresolved",LEN(O30)&gt;0,LEN(P30)&gt;0,Q30="yes"),AND(LEN(N30)&gt;0,LEN(O30)&gt;0,LEN(P30)&gt;0,OR(Q30="yes",Q30="no"))),"ready","pending")</x:f>
        <x:v>ready</x:v>
      </x:c>
    </x:row>
    <x:row r="31" ht="44" customHeight="1">
      <x:c r="A31" s="10" t="str">
        <x:v>C13__lifecycle</x:v>
      </x:c>
      <x:c r="B31" s="11" t="str">
        <x:v>C13</x:v>
      </x:c>
      <x:c r="C31" s="11" t="str">
        <x:v>released_67</x:v>
      </x:c>
      <x:c r="D31" s="11" t="str">
        <x:v>PBFuzz: agentic directed fuzzing for PoV generation</x:v>
      </x:c>
      <x:c r="E31" s="11" t="str">
        <x:v>lifecycle coverage</x:v>
      </x:c>
      <x:c r="F31" s="11" t="str">
        <x:v>multi-label</x:v>
      </x:c>
      <x:c r="G31" s="11" t="str">
        <x:v>candidate analysis;execution observation;path and input exploration;reproduction and validation</x:v>
      </x:c>
      <x:c r="H31" s="11" t="str">
        <x:v>candidate analysis;execution observation;path and input exploration;reporting and audit;reproduction and validation</x:v>
      </x:c>
      <x:c r="I31" s="11" t="str">
        <x:v>source-linked lead</x:v>
      </x:c>
      <x:c r="J31" s="11" t="str">
        <x:v>https://arxiv.org/abs/2512.04611 | Paper pp. 1–6 (motivation, architecture and workflow state), pp. 6–10 (tools/implementation), and pp. 10–20 (evaluation, limitations and conclusion). | excerpt pages 3, 5</x:v>
      </x:c>
      <x:c r="K31" s="11" t="str">
        <x:v>[p.3] Therefore,finding PoV inputs can be reduced to discovering coun- terexamples that violate safety properties: inputs that satisfy both reachability constraints and triggering conditions. [p.5] Beneath it, theLLM agentacts as the “brain” to perform semantic reasoning to (1) generate hypotheses about reaching and triggering constraints, (2) infer root causes of vulnerabilities, (3) formulate plausible ways to solve the constraints, (4) synthesize the solver as a property-based fuzzer, and (5) leverage runtime evidence to diagnose failures and refine hypotheses.</x:v>
      </x:c>
      <x:c r="L31" s="16" t="str">
        <x:v>A source-linked excerpt and locator are supplied as review leads; the cited source and locator should be retained for auditability.</x:v>
      </x:c>
      <x:c r="M31" s="16" t="str">
        <x:v>Mark only observable lifecycle actions or outputs. Reporting and audit requires explicit packaging, routing, disclosure, or audit transition; a report name alone is insufficient.</x:v>
      </x:c>
      <x:c r="N31" s="16" t="str">
        <x:v>candidate analysis;path and input exploration;execution observation;reproduction and validation</x:v>
      </x:c>
      <x:c r="O31" s="16" t="str">
        <x:v>The cited source supports the selected label candidate analysis;path and input exploration;execution observation;reproduction and validation; only observable workflow actions or outputs were retained.</x:v>
      </x:c>
      <x:c r="P31" s="16" t="str">
        <x:v>https://arxiv.org/abs/2512.04611 | Paper pp. 1–6 (motivation, architecture and workflow state), pp. 6–10 (tools/implementation), and pp. 10–20 (evaluation, limitations and conclusion). | excerpt pages 3, 5</x:v>
      </x:c>
      <x:c r="Q31" s="16" t="str">
        <x:v>no</x:v>
      </x:c>
      <x:c r="R31" s="11" t="str"/>
      <x:c r="S31" s="11" t="str">
        <x:v>2026-08-12</x:v>
      </x:c>
      <x:c r="T31" s="18" t="str">
        <x:f>IF(OR(AND(N31="unresolved",LEN(O31)&gt;0,LEN(P31)&gt;0,Q31="yes"),AND(LEN(N31)&gt;0,LEN(O31)&gt;0,LEN(P31)&gt;0,OR(Q31="yes",Q31="no"))),"ready","pending")</x:f>
        <x:v>ready</x:v>
      </x:c>
    </x:row>
    <x:row r="32" ht="44" customHeight="1">
      <x:c r="A32" s="10" t="str">
        <x:v>C13__external_traceability</x:v>
      </x:c>
      <x:c r="B32" s="11" t="str">
        <x:v>C13</x:v>
      </x:c>
      <x:c r="C32" s="11" t="str">
        <x:v>released_67</x:v>
      </x:c>
      <x:c r="D32" s="11" t="str">
        <x:v>PBFuzz: agentic directed fuzzing for PoV generation</x:v>
      </x:c>
      <x:c r="E32" s="11" t="str">
        <x:v>external traceability</x:v>
      </x:c>
      <x:c r="F32" s="11" t="str">
        <x:v>single-label</x:v>
      </x:c>
      <x:c r="G32" s="11" t="str">
        <x:v>no external trace reported</x:v>
      </x:c>
      <x:c r="H32" s="11" t="str">
        <x:v>benchmark ground truth / public material</x:v>
      </x:c>
      <x:c r="I32" s="11" t="str">
        <x:v>source-linked lead</x:v>
      </x:c>
      <x:c r="J32" s="11" t="str">
        <x:v>https://arxiv.org/abs/2512.04611 | Paper pp. 1–6 (motivation, architecture and workflow state), pp. 6–10 (tools/implementation), and pp. 10–20 (evaluation, limitations and conclusion). | excerpt pages 1, 5</x:v>
      </x:c>
      <x:c r="K32" s="11" t="str">
        <x:v>[p.1] For example, our experimental results (Figure 5) on the Magma benchmark show that AFLGo can trigger only 41 CVEs, while AFL++ with Cmplog triggered 49. [p.5] For our main evaluation dataset, the Magma benchmark [33], both prerequisites are already satisfied.</x:v>
      </x:c>
      <x:c r="L32" s="16" t="str">
        <x:v>A source-linked excerpt and locator are supplied as review leads; the cited source and locator should be retained for auditability.</x:v>
      </x:c>
      <x:c r="M32" s="16" t="str">
        <x:v>Code separately from principal output. Only item-level alignment between a concrete system result and a specific public external record qualifies as publicly aligned external trace.</x:v>
      </x:c>
      <x:c r="N32" s="16" t="str">
        <x:v>no external trace reported</x:v>
      </x:c>
      <x:c r="O32" s="16" t="str">
        <x:v>The cited source supports the selected label no external trace reported under the codebook's item-level public-record alignment criterion.</x:v>
      </x:c>
      <x:c r="P32" s="16" t="str">
        <x:v>https://arxiv.org/abs/2512.04611 | Paper pp. 1–6 (motivation, architecture and workflow state), pp. 6–10 (tools/implementation), and pp. 10–20 (evaluation, limitations and conclusion). | excerpt pages 1, 5</x:v>
      </x:c>
      <x:c r="Q32" s="16" t="str">
        <x:v>no</x:v>
      </x:c>
      <x:c r="R32" s="11" t="str"/>
      <x:c r="S32" s="11" t="str">
        <x:v>2026-08-12</x:v>
      </x:c>
      <x:c r="T32" s="18" t="str">
        <x:f>IF(OR(AND(N32="unresolved",LEN(O32)&gt;0,LEN(P32)&gt;0,Q32="yes"),AND(LEN(N32)&gt;0,LEN(O32)&gt;0,LEN(P32)&gt;0,OR(Q32="yes",Q32="no"))),"ready","pending")</x:f>
        <x:v>ready</x:v>
      </x:c>
    </x:row>
    <x:row r="33" ht="44" customHeight="1">
      <x:c r="A33" s="10" t="str">
        <x:v>C14__lifecycle</x:v>
      </x:c>
      <x:c r="B33" s="11" t="str">
        <x:v>C14</x:v>
      </x:c>
      <x:c r="C33" s="11" t="str">
        <x:v>released_67</x:v>
      </x:c>
      <x:c r="D33" s="11" t="str">
        <x:v>Co-RedTeam: orchestrated security discovery and exploitation with LLM agents</x:v>
      </x:c>
      <x:c r="E33" s="11" t="str">
        <x:v>lifecycle coverage</x:v>
      </x:c>
      <x:c r="F33" s="11" t="str">
        <x:v>multi-label</x:v>
      </x:c>
      <x:c r="G33" s="11" t="str">
        <x:v>candidate analysis;execution observation;path and input exploration</x:v>
      </x:c>
      <x:c r="H33" s="11" t="str">
        <x:v>candidate analysis;execution observation;path and input exploration;reporting and audit;reproduction and validation</x:v>
      </x:c>
      <x:c r="I33" s="11" t="str">
        <x:v>source-linked lead</x:v>
      </x:c>
      <x:c r="J33" s="11" t="str">
        <x:v>https://arxiv.org/abs/2602.02164 | Paper pp. 1–3 (Abstract and contribution), pp. 4–8 (discovery/exploitation agents, feedback and memory), and pp. 8–13 (Tables 1–3, ablations and conclusion). | excerpt pages 3, 5</x:v>
      </x:c>
      <x:c r="K33" s="11" t="str">
        <x:v>[p.3] Co - Re d Te amis a security-aware multi-agent framework for automatic vulnerability discovery and exploitation.(Top) Given a target codebase (and optional vulnerability hints), the orchestrator coordinates two stages.Stage I ( Vulnerability Discovery): Analysis and Critique agents discuss together leveraging code-browsing tools and security documen- tation to identify and validate candidate vulnerabilities with concrete evidence.Stage II (Iterative Exploitation): Planning, Validation, Execution, and Evaluation agents interact with an isolated execution environment to iteratively reproduce vulnerabilities through execution-grounded feedback. [p.5] Stage II is therefore designed as an execution-grounded, iterative process that systematically refines exploitation strategies based on real execution feedback, transforming candidate vulnerabilities into concrete, reproducible evidence.</x:v>
      </x:c>
      <x:c r="L33" s="16" t="str">
        <x:v>A source-linked excerpt and locator are supplied as review leads; the cited source and locator should be retained for auditability.</x:v>
      </x:c>
      <x:c r="M33" s="16" t="str">
        <x:v>Mark only observable lifecycle actions or outputs. Reporting and audit requires explicit packaging, routing, disclosure, or audit transition; a report name alone is insufficient.</x:v>
      </x:c>
      <x:c r="N33" s="16" t="str">
        <x:v>candidate analysis;path and input exploration;execution observation</x:v>
      </x:c>
      <x:c r="O33" s="16" t="str">
        <x:v>The cited source supports the selected label candidate analysis;path and input exploration;execution observation; only observable workflow actions or outputs were retained.</x:v>
      </x:c>
      <x:c r="P33" s="16" t="str">
        <x:v>https://arxiv.org/abs/2602.02164 | Paper pp. 1–3 (Abstract and contribution), pp. 4–8 (discovery/exploitation agents, feedback and memory), and pp. 8–13 (Tables 1–3, ablations and conclusion). | excerpt pages 3, 5</x:v>
      </x:c>
      <x:c r="Q33" s="16" t="str">
        <x:v>no</x:v>
      </x:c>
      <x:c r="R33" s="11" t="str"/>
      <x:c r="S33" s="11" t="str">
        <x:v>2026-08-12</x:v>
      </x:c>
      <x:c r="T33" s="18" t="str">
        <x:f>IF(OR(AND(N33="unresolved",LEN(O33)&gt;0,LEN(P33)&gt;0,Q33="yes"),AND(LEN(N33)&gt;0,LEN(O33)&gt;0,LEN(P33)&gt;0,OR(Q33="yes",Q33="no"))),"ready","pending")</x:f>
        <x:v>ready</x:v>
      </x:c>
    </x:row>
    <x:row r="34" ht="44" customHeight="1">
      <x:c r="A34" s="10" t="str">
        <x:v>C14__capability</x:v>
      </x:c>
      <x:c r="B34" s="11" t="str">
        <x:v>C14</x:v>
      </x:c>
      <x:c r="C34" s="11" t="str">
        <x:v>released_67</x:v>
      </x:c>
      <x:c r="D34" s="11" t="str">
        <x:v>Co-RedTeam: orchestrated security discovery and exploitation with LLM agents</x:v>
      </x:c>
      <x:c r="E34" s="11" t="str">
        <x:v>cross-stage capability</x:v>
      </x:c>
      <x:c r="F34" s="11" t="str">
        <x:v>multi-label</x:v>
      </x:c>
      <x:c r="G34" s="11" t="str">
        <x:v>context aggregation / rule extraction;feedback interpretation / loop adjustment;long-horizon state management;tool routing / strategy routing</x:v>
      </x:c>
      <x:c r="H34" s="11" t="str">
        <x:v>context aggregation / rule extraction;failure reuse / strategy update;feedback interpretation / loop adjustment;long-horizon state management;tool routing / strategy routing;validation organization / evidence packaging</x:v>
      </x:c>
      <x:c r="I34" s="11" t="str">
        <x:v>source-linked lead</x:v>
      </x:c>
      <x:c r="J34" s="11" t="str">
        <x:v>https://arxiv.org/abs/2602.02164 | Paper pp. 1–3 (Abstract and contribution), pp. 4–8 (discovery/exploitation agents, feedback and memory), and pp. 8–13 (Tables 1–3, ablations and conclusion). | excerpt pages 2, 3</x:v>
      </x:c>
      <x:c r="K34" s="11" t="str">
        <x:v>[p.2] We proposeCo - Re d Te am, a security-aware multi-agent framework for automatic software vulnerability discovery and exploitation, explicitly designed to overcome core limitations of existing LLM-based security systems, namely brittle single-shot reasoning, lack of execution-grounded validation, and the inability to learn from prior attacks. [p.3] Co - Re d Te amis a security-aware multi-agent framework for automatic vulnerability discovery and exploitation.(Top) Given a target codebase (and optional vulnerability hints), the orchestrator coordinates two stages.Stage I ( Vulnerability Discovery): Analysis and Critique agents discuss together leveraging code-browsing tools and security documen- tation to identify and validate candidate vulnerabilities with concrete evidence.Stage II (Iterative Exploitation): Planning, Validation, Execution, and Evaluation agents interact with an isolated execution environment to iteratively reproduce vulnerabilities through execution-grounded feedback.</x:v>
      </x:c>
      <x:c r="L34" s="16" t="str">
        <x:v>A source-linked excerpt and locator are supplied as review leads; the cited source and locator should be retained for auditability.</x:v>
      </x:c>
      <x:c r="M34" s="16" t="str">
        <x:v>Require an explicit cross-stage connection. Information must guide later action; feedback must alter later action; packaging must assemble prior outputs; governance must enforce an actual gate.</x:v>
      </x:c>
      <x:c r="N34" s="16" t="str">
        <x:v>context aggregation / rule extraction;tool routing / strategy routing;feedback interpretation / loop adjustment;long-horizon state management</x:v>
      </x:c>
      <x:c r="O34"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34" s="16" t="str">
        <x:v>https://arxiv.org/abs/2602.02164 | Paper pp. 1–3 (Abstract and contribution), pp. 4–8 (discovery/exploitation agents, feedback and memory), and pp. 8–13 (Tables 1–3, ablations and conclusion). | excerpt pages 2, 3</x:v>
      </x:c>
      <x:c r="Q34" s="16" t="str">
        <x:v>no</x:v>
      </x:c>
      <x:c r="R34" s="11" t="str"/>
      <x:c r="S34" s="11" t="str">
        <x:v>2026-08-12</x:v>
      </x:c>
      <x:c r="T34" s="18" t="str">
        <x:f>IF(OR(AND(N34="unresolved",LEN(O34)&gt;0,LEN(P34)&gt;0,Q34="yes"),AND(LEN(N34)&gt;0,LEN(O34)&gt;0,LEN(P34)&gt;0,OR(Q34="yes",Q34="no"))),"ready","pending")</x:f>
        <x:v>ready</x:v>
      </x:c>
    </x:row>
    <x:row r="35" ht="44" customHeight="1">
      <x:c r="A35" s="10" t="str">
        <x:v>C14__external_traceability</x:v>
      </x:c>
      <x:c r="B35" s="11" t="str">
        <x:v>C14</x:v>
      </x:c>
      <x:c r="C35" s="11" t="str">
        <x:v>released_67</x:v>
      </x:c>
      <x:c r="D35" s="11" t="str">
        <x:v>Co-RedTeam: orchestrated security discovery and exploitation with LLM agents</x:v>
      </x:c>
      <x:c r="E35" s="11" t="str">
        <x:v>external traceability</x:v>
      </x:c>
      <x:c r="F35" s="11" t="str">
        <x:v>single-label</x:v>
      </x:c>
      <x:c r="G35" s="11" t="str">
        <x:v>no external trace reported</x:v>
      </x:c>
      <x:c r="H35" s="11" t="str">
        <x:v>benchmark ground truth / public material</x:v>
      </x:c>
      <x:c r="I35" s="11" t="str">
        <x:v>source-linked lead</x:v>
      </x:c>
      <x:c r="J35" s="11" t="str">
        <x:v>https://arxiv.org/abs/2602.02164 | Paper pp. 1–3 (Abstract and contribution), pp. 4–8 (discovery/exploitation agents, feedback and memory), and pp. 8–13 (Tables 1–3, ablations and conclusion). | excerpt pages 1</x:v>
      </x:c>
      <x:c r="K35" s="11" t="str">
        <x:v>[p.1] Extensive evaluations on challenging security benchmarks demon- strate that Co - Re d Te amconsistently outperforms strong baselines across diverse backbone models, achieving over 60% success rate in vulnerability exploitation and over 10% absolute improvement in vulnerability detection. [p.1] For example, empirical evidence from established benchmarks such as CyBench (Zhang et al., 2024), BountyBench (Zhang et al., 2025a), and CyberGym (Wang et al., 2025) shows that these systems struggle with multi-step reasoning, adaptive attack planning, and robust exploration of Corresponding authors: Corresponding authors: Pengfei He hepengf1@msu.edu and Long T.</x:v>
      </x:c>
      <x:c r="L35" s="16" t="str">
        <x:v>A source-linked excerpt and locator are supplied as review leads; the cited source and locator should be retained for auditability.</x:v>
      </x:c>
      <x:c r="M35" s="16" t="str">
        <x:v>Code separately from principal output. Only item-level alignment between a concrete system result and a specific public external record qualifies as publicly aligned external trace.</x:v>
      </x:c>
      <x:c r="N35" s="16" t="str">
        <x:v>no external trace reported</x:v>
      </x:c>
      <x:c r="O35" s="16" t="str">
        <x:v>The cited source supports the selected label no external trace reported under the codebook's item-level public-record alignment criterion.</x:v>
      </x:c>
      <x:c r="P35" s="16" t="str">
        <x:v>https://arxiv.org/abs/2602.02164 | Paper pp. 1–3 (Abstract and contribution), pp. 4–8 (discovery/exploitation agents, feedback and memory), and pp. 8–13 (Tables 1–3, ablations and conclusion). | excerpt pages 1</x:v>
      </x:c>
      <x:c r="Q35" s="16" t="str">
        <x:v>no</x:v>
      </x:c>
      <x:c r="R35" s="11" t="str"/>
      <x:c r="S35" s="11" t="str">
        <x:v>2026-08-12</x:v>
      </x:c>
      <x:c r="T35" s="18" t="str">
        <x:f>IF(OR(AND(N35="unresolved",LEN(O35)&gt;0,LEN(P35)&gt;0,Q35="yes"),AND(LEN(N35)&gt;0,LEN(O35)&gt;0,LEN(P35)&gt;0,OR(Q35="yes",Q35="no"))),"ready","pending")</x:f>
        <x:v>ready</x:v>
      </x:c>
    </x:row>
    <x:row r="36" ht="44" customHeight="1">
      <x:c r="A36" s="10" t="str">
        <x:v>C15__lifecycle</x:v>
      </x:c>
      <x:c r="B36" s="11" t="str">
        <x:v>C15</x:v>
      </x:c>
      <x:c r="C36" s="11" t="str">
        <x:v>released_67</x:v>
      </x:c>
      <x:c r="D36" s="11" t="str">
        <x:v>What makes a good LLM agent for real-world penetration testing?</x:v>
      </x:c>
      <x:c r="E36" s="11" t="str">
        <x:v>lifecycle coverage</x:v>
      </x:c>
      <x:c r="F36" s="11" t="str">
        <x:v>multi-label</x:v>
      </x:c>
      <x:c r="G36" s="11" t="str">
        <x:v>candidate analysis;execution observation;path and input exploration</x:v>
      </x:c>
      <x:c r="H36" s="11" t="str">
        <x:v>candidate analysis;execution observation;path and input exploration;reporting and audit;reproduction and validation</x:v>
      </x:c>
      <x:c r="I36" s="11" t="str">
        <x:v>source-linked lead</x:v>
      </x:c>
      <x:c r="J36" s="11" t="str">
        <x:v>https://arxiv.org/abs/2602.17622 | Paper pp. 1–6 (failure analysis), pp. 6–9 (PentestGPTV2 design), and pp. 9–13 (evaluation, strategy case study and deployment). | excerpt pages 1</x:v>
      </x:c>
      <x:c r="K36" s="11" t="str">
        <x:v>[p.1] Recent systems report strong results on benchmarks such as Capture-the-Flag challenges and Hack The Box (HTB) environments [8, 17, 19, 30, 32], and emerging work has demonstrated real-world impact, including the discovery of exploitable vulnerabilities in production software [10, 13]. [p.1] A Task Difficulty Assessment (TDA) mechanism ad- dresses Type B failures by estimating tractability through four measurable dimensions (horizon estimation, evidence confi- dence, context load, and historical success) and uses these estimates to guide exploration-exploitation decisions within an Evidence-Guided Attack Tree Search (EGATS) frame- work.</x:v>
      </x:c>
      <x:c r="L36" s="16" t="str">
        <x:v>A source-linked excerpt and locator are supplied as review leads; the cited source and locator should be retained for auditability.</x:v>
      </x:c>
      <x:c r="M36" s="16" t="str">
        <x:v>Mark only observable lifecycle actions or outputs. Reporting and audit requires explicit packaging, routing, disclosure, or audit transition; a report name alone is insufficient.</x:v>
      </x:c>
      <x:c r="N36" s="16" t="str">
        <x:v>candidate analysis;path and input exploration;execution observation</x:v>
      </x:c>
      <x:c r="O36" s="16" t="str">
        <x:v>The cited source supports the selected label candidate analysis;path and input exploration;execution observation; only observable workflow actions or outputs were retained.</x:v>
      </x:c>
      <x:c r="P36" s="16" t="str">
        <x:v>https://arxiv.org/abs/2602.17622 | Paper pp. 1–6 (failure analysis), pp. 6–9 (PentestGPTV2 design), and pp. 9–13 (evaluation, strategy case study and deployment). | excerpt pages 1</x:v>
      </x:c>
      <x:c r="Q36" s="16" t="str">
        <x:v>no</x:v>
      </x:c>
      <x:c r="R36" s="11" t="str"/>
      <x:c r="S36" s="11" t="str">
        <x:v>2026-08-12</x:v>
      </x:c>
      <x:c r="T36" s="18" t="str">
        <x:f>IF(OR(AND(N36="unresolved",LEN(O36)&gt;0,LEN(P36)&gt;0,Q36="yes"),AND(LEN(N36)&gt;0,LEN(O36)&gt;0,LEN(P36)&gt;0,OR(Q36="yes",Q36="no"))),"ready","pending")</x:f>
        <x:v>ready</x:v>
      </x:c>
    </x:row>
    <x:row r="37" ht="44" customHeight="1">
      <x:c r="A37" s="10" t="str">
        <x:v>C15__capability</x:v>
      </x:c>
      <x:c r="B37" s="11" t="str">
        <x:v>C15</x:v>
      </x:c>
      <x:c r="C37" s="11" t="str">
        <x:v>released_67</x:v>
      </x:c>
      <x:c r="D37" s="11" t="str">
        <x:v>What makes a good LLM agent for real-world penetration testing?</x:v>
      </x:c>
      <x:c r="E37" s="11" t="str">
        <x:v>cross-stage capability</x:v>
      </x:c>
      <x:c r="F37" s="11" t="str">
        <x:v>multi-label</x:v>
      </x:c>
      <x:c r="G37" s="11" t="str">
        <x:v>context aggregation / rule extraction;long-horizon state management;tool routing / strategy routing</x:v>
      </x:c>
      <x:c r="H37" s="11" t="str">
        <x:v>context aggregation / rule extraction;failure reuse / strategy update;feedback interpretation / loop adjustment;long-horizon state management;tool routing / strategy routing;validation organization / evidence packaging</x:v>
      </x:c>
      <x:c r="I37" s="11" t="str">
        <x:v>source-linked lead</x:v>
      </x:c>
      <x:c r="J37" s="11" t="str">
        <x:v>https://arxiv.org/abs/2602.17622 | Paper pp. 1–6 (failure analysis), pp. 6–9 (PentestGPTV2 design), and pp. 9–13 (evaluation, strategy case study and deployment). | excerpt pages 1, 2</x:v>
      </x:c>
      <x:c r="K37" s="11" t="str">
        <x:v>[p.1] A Task Difficulty Assessment (TDA) mechanism ad- dresses Type B failures by estimating tractability through four measurable dimensions (horizon estimation, evidence confi- dence, context load, and historical success) and uses these estimates to guide exploration-exploitation decisions within an Evidence-Guided Attack Tree Search (EGATS) frame- work. [p.2] We present a system addressing both failure types: a Tool and Skill Layer for Type A failures, and Task Difficulty Assessment integrated into Evidence- Guided Attack Tree Search for Type B failures. • Evaluation across three benchmarks(§5).</x:v>
      </x:c>
      <x:c r="L37" s="16" t="str">
        <x:v>A source-linked excerpt and locator are supplied as review leads; the cited source and locator should be retained for auditability.</x:v>
      </x:c>
      <x:c r="M37" s="16" t="str">
        <x:v>Require an explicit cross-stage connection. Information must guide later action; feedback must alter later action; packaging must assemble prior outputs; governance must enforce an actual gate.</x:v>
      </x:c>
      <x:c r="N37" s="16" t="str">
        <x:v>context aggregation / rule extraction;tool routing / strategy routing;long-horizon state management</x:v>
      </x:c>
      <x:c r="O37" s="16" t="str">
        <x:v>The cited source supports the selected label context aggregation / rule extraction;tool routing / strategy routing;long-horizon state management; each retained label requires an explicit connection that guides later action, feedback, packaging, or a gate.</x:v>
      </x:c>
      <x:c r="P37" s="16" t="str">
        <x:v>https://arxiv.org/abs/2602.17622 | Paper pp. 1–6 (failure analysis), pp. 6–9 (PentestGPTV2 design), and pp. 9–13 (evaluation, strategy case study and deployment). | excerpt pages 1, 2</x:v>
      </x:c>
      <x:c r="Q37" s="16" t="str">
        <x:v>no</x:v>
      </x:c>
      <x:c r="R37" s="11" t="str"/>
      <x:c r="S37" s="11" t="str">
        <x:v>2026-08-12</x:v>
      </x:c>
      <x:c r="T37" s="18" t="str">
        <x:f>IF(OR(AND(N37="unresolved",LEN(O37)&gt;0,LEN(P37)&gt;0,Q37="yes"),AND(LEN(N37)&gt;0,LEN(O37)&gt;0,LEN(P37)&gt;0,OR(Q37="yes",Q37="no"))),"ready","pending")</x:f>
        <x:v>ready</x:v>
      </x:c>
    </x:row>
    <x:row r="38" ht="44" customHeight="1">
      <x:c r="A38" s="10" t="str">
        <x:v>C15__external_traceability</x:v>
      </x:c>
      <x:c r="B38" s="11" t="str">
        <x:v>C15</x:v>
      </x:c>
      <x:c r="C38" s="11" t="str">
        <x:v>released_67</x:v>
      </x:c>
      <x:c r="D38" s="11" t="str">
        <x:v>What makes a good LLM agent for real-world penetration testing?</x:v>
      </x:c>
      <x:c r="E38" s="11" t="str">
        <x:v>external traceability</x:v>
      </x:c>
      <x:c r="F38" s="11" t="str">
        <x:v>single-label</x:v>
      </x:c>
      <x:c r="G38" s="11" t="str">
        <x:v>no external trace reported</x:v>
      </x:c>
      <x:c r="H38" s="11" t="str">
        <x:v>benchmark ground truth / public material</x:v>
      </x:c>
      <x:c r="I38" s="11" t="str">
        <x:v>source-linked lead</x:v>
      </x:c>
      <x:c r="J38" s="11" t="str">
        <x:v>https://arxiv.org/abs/2602.17622 | Paper pp. 1–6 (failure analysis), pp. 6–9 (PentestGPTV2 design), and pp. 9–13 (evaluation, strategy case study and deployment). | excerpt pages 13, 7</x:v>
      </x:c>
      <x:c r="K38" s="11" t="str">
        <x:v>[p.13] This provides a direct test of real-world viability: unlike retired benchmark machines, Season machines incor- porate recent CVEs and novel attack chains with no public walkthroughs. [p.7] The knowl- edge base contains only generic attack techniques from public security resources (MITRE ATT&amp;CK, OWASP, tool docu- mentation); it excludes CTF writeups, HTB walkthroughs, or benchmark-specific solutions to prevent data leakage in evaluation.</x:v>
      </x:c>
      <x:c r="L38" s="16" t="str">
        <x:v>A source-linked excerpt and locator are supplied as review leads; the cited source and locator should be retained for auditability.</x:v>
      </x:c>
      <x:c r="M38" s="16" t="str">
        <x:v>Code separately from principal output. Only item-level alignment between a concrete system result and a specific public external record qualifies as publicly aligned external trace.</x:v>
      </x:c>
      <x:c r="N38" s="16" t="str">
        <x:v>no external trace reported</x:v>
      </x:c>
      <x:c r="O38" s="16" t="str">
        <x:v>The cited source supports the selected label no external trace reported under the codebook's item-level public-record alignment criterion.</x:v>
      </x:c>
      <x:c r="P38" s="16" t="str">
        <x:v>https://arxiv.org/abs/2602.17622 | Paper pp. 1–6 (failure analysis), pp. 6–9 (PentestGPTV2 design), and pp. 9–13 (evaluation, strategy case study and deployment). | excerpt pages 13, 7</x:v>
      </x:c>
      <x:c r="Q38" s="16" t="str">
        <x:v>no</x:v>
      </x:c>
      <x:c r="R38" s="11" t="str"/>
      <x:c r="S38" s="11" t="str">
        <x:v>2026-08-12</x:v>
      </x:c>
      <x:c r="T38" s="18" t="str">
        <x:f>IF(OR(AND(N38="unresolved",LEN(O38)&gt;0,LEN(P38)&gt;0,Q38="yes"),AND(LEN(N38)&gt;0,LEN(O38)&gt;0,LEN(P38)&gt;0,OR(Q38="yes",Q38="no"))),"ready","pending")</x:f>
        <x:v>ready</x:v>
      </x:c>
    </x:row>
    <x:row r="39" ht="44" customHeight="1">
      <x:c r="A39" s="10" t="str">
        <x:v>C16__lifecycle</x:v>
      </x:c>
      <x:c r="B39" s="11" t="str">
        <x:v>C16</x:v>
      </x:c>
      <x:c r="C39" s="11" t="str">
        <x:v>released_67</x:v>
      </x:c>
      <x:c r="D39" s="11" t="str">
        <x:v>Taint-style vulnerability detection and confirmation for node.js packages using LLM agent reasoning</x:v>
      </x:c>
      <x:c r="E39" s="11" t="str">
        <x:v>lifecycle coverage</x:v>
      </x:c>
      <x:c r="F39" s="11" t="str">
        <x:v>multi-label</x:v>
      </x:c>
      <x:c r="G39" s="11" t="str">
        <x:v>candidate analysis;execution observation;reproduction and validation</x:v>
      </x:c>
      <x:c r="H39" s="11" t="str">
        <x:v>candidate analysis;execution observation;path and input exploration;reporting and audit;reproduction and validation</x:v>
      </x:c>
      <x:c r="I39" s="11" t="str">
        <x:v>source-linked lead</x:v>
      </x:c>
      <x:c r="J39" s="11" t="str">
        <x:v>https://arxiv.org/abs/2604.20179 | Paper pp. 1–5 (Abstract and pipeline), pp. 5–8 (system and PoC validation), pp. 8–12 (evaluation), and pp. 10–13 (new-package results/limitations). | excerpt pages 5</x:v>
      </x:c>
      <x:c r="K39" s="11" t="str">
        <x:v>[p.5] Taint-Style Vulnerability Detection and Confirmation for Node.js Packages Using LLM Agent Reasoning &lt;package&gt;@&lt;version&gt; Finder Environment Setup Judge Judge Judge Constraints Constraints Inferencer Testing Oracles Exploit Exploiter Rule-based Program LLM Agent Per-ﬁnding validation Iterative exploit attempts LLM Agents { "vuln_type": "prototype_pollution", "location": { "ﬁle": "utils.js", "line": 34 }, "description": "User input is merged into an object without ﬁltering special keys, allowing prototype pollution.", "evidence": "Object.assign({}, defaults, userInput)" } { "vuln_type": "path_traversal", "location": { "ﬁle": "server.js", "line": 87 }, "description": "User-controlled path is joi</x:v>
      </x:c>
      <x:c r="L39" s="16" t="str">
        <x:v>A source-linked excerpt and locator are supplied as review leads; the cited source and locator should be retained for auditability.</x:v>
      </x:c>
      <x:c r="M39" s="16" t="str">
        <x:v>Mark only observable lifecycle actions or outputs. Reporting and audit requires explicit packaging, routing, disclosure, or audit transition; a report name alone is insufficient.</x:v>
      </x:c>
      <x:c r="N39" s="16" t="str">
        <x:v>candidate analysis;execution observation;reproduction and validation</x:v>
      </x:c>
      <x:c r="O39" s="16" t="str">
        <x:v>The cited source supports the selected label candidate analysis;execution observation;reproduction and validation; only observable workflow actions or outputs were retained.</x:v>
      </x:c>
      <x:c r="P39" s="16" t="str">
        <x:v>https://arxiv.org/abs/2604.20179 | Paper pp. 1–5 (Abstract and pipeline), pp. 5–8 (system and PoC validation), pp. 8–12 (evaluation), and pp. 10–13 (new-package results/limitations). | excerpt pages 5</x:v>
      </x:c>
      <x:c r="Q39" s="16" t="str">
        <x:v>no</x:v>
      </x:c>
      <x:c r="R39" s="11" t="str"/>
      <x:c r="S39" s="11" t="str">
        <x:v>2026-08-12</x:v>
      </x:c>
      <x:c r="T39" s="18" t="str">
        <x:f>IF(OR(AND(N39="unresolved",LEN(O39)&gt;0,LEN(P39)&gt;0,Q39="yes"),AND(LEN(N39)&gt;0,LEN(O39)&gt;0,LEN(P39)&gt;0,OR(Q39="yes",Q39="no"))),"ready","pending")</x:f>
        <x:v>ready</x:v>
      </x:c>
    </x:row>
    <x:row r="40" ht="44" customHeight="1">
      <x:c r="A40" s="10" t="str">
        <x:v>C16__capability</x:v>
      </x:c>
      <x:c r="B40" s="11" t="str">
        <x:v>C16</x:v>
      </x:c>
      <x:c r="C40" s="11" t="str">
        <x:v>released_67</x:v>
      </x:c>
      <x:c r="D40" s="11" t="str">
        <x:v>Taint-style vulnerability detection and confirmation for node.js packages using LLM agent reasoning</x:v>
      </x:c>
      <x:c r="E40" s="11" t="str">
        <x:v>cross-stage capability</x:v>
      </x:c>
      <x:c r="F40" s="11" t="str">
        <x:v>multi-label</x:v>
      </x:c>
      <x:c r="G40" s="11" t="str">
        <x:v>context aggregation / rule extraction;feedback interpretation / loop adjustment;validation organization / evidence packaging</x:v>
      </x:c>
      <x:c r="H40" s="11" t="str">
        <x:v>context aggregation / rule extraction;feedback interpretation / loop adjustment;tool routing / strategy routing;validation organization / evidence packaging</x:v>
      </x:c>
      <x:c r="I40" s="11" t="str">
        <x:v>source-linked lead</x:v>
      </x:c>
      <x:c r="J40" s="11" t="str">
        <x:v>https://arxiv.org/abs/2604.20179 | Paper pp. 1–5 (Abstract and pipeline), pp. 5–8 (system and PoC validation), pp. 8–12 (evaluation), and pp. 10–13 (new-package results/limitations). | excerpt pages 1</x:v>
      </x:c>
      <x:c r="K40" s="11" t="str">
        <x:v>[p.1] Third, these tools rely on external JavaScript analysis infrastructure, such as parsers [2], transpilers [1], and instrumentation tools [44]. [p.1] For packages from public benchmarks, LLMVD.js confirms 84% of the vulnerabilities, compared to less than 22% for prior program analysis tools.</x:v>
      </x:c>
      <x:c r="L40" s="16" t="str">
        <x:v>A source-linked excerpt and locator are supplied as review leads; the cited source and locator should be retained for auditability.</x:v>
      </x:c>
      <x:c r="M40" s="16" t="str">
        <x:v>Require an explicit cross-stage connection. Information must guide later action; feedback must alter later action; packaging must assemble prior outputs; governance must enforce an actual gate.</x:v>
      </x:c>
      <x:c r="N40" s="16" t="str">
        <x:v>context aggregation / rule extraction;feedback interpretation / loop adjustment;validation organization / evidence packaging</x:v>
      </x:c>
      <x:c r="O40" s="16" t="str">
        <x:v>The cited source supports the selected label context aggregation / rule extraction;feedback interpretation / loop adjustment;validation organization / evidence packaging; each retained label requires an explicit connection that guides later action, feedback, packaging, or a gate.</x:v>
      </x:c>
      <x:c r="P40" s="16" t="str">
        <x:v>https://arxiv.org/abs/2604.20179 | Paper pp. 1–5 (Abstract and pipeline), pp. 5–8 (system and PoC validation), pp. 8–12 (evaluation), and pp. 10–13 (new-package results/limitations). | excerpt pages 1</x:v>
      </x:c>
      <x:c r="Q40" s="16" t="str">
        <x:v>no</x:v>
      </x:c>
      <x:c r="R40" s="11" t="str"/>
      <x:c r="S40" s="11" t="str">
        <x:v>2026-08-12</x:v>
      </x:c>
      <x:c r="T40" s="18" t="str">
        <x:f>IF(OR(AND(N40="unresolved",LEN(O40)&gt;0,LEN(P40)&gt;0,Q40="yes"),AND(LEN(N40)&gt;0,LEN(O40)&gt;0,LEN(P40)&gt;0,OR(Q40="yes",Q40="no"))),"ready","pending")</x:f>
        <x:v>ready</x:v>
      </x:c>
    </x:row>
    <x:row r="41" ht="44" customHeight="1">
      <x:c r="A41" s="10" t="str">
        <x:v>C16__external_traceability</x:v>
      </x:c>
      <x:c r="B41" s="11" t="str">
        <x:v>C16</x:v>
      </x:c>
      <x:c r="C41" s="11" t="str">
        <x:v>released_67</x:v>
      </x:c>
      <x:c r="D41" s="11" t="str">
        <x:v>Taint-style vulnerability detection and confirmation for node.js packages using LLM agent reasoning</x:v>
      </x:c>
      <x:c r="E41" s="11" t="str">
        <x:v>external traceability</x:v>
      </x:c>
      <x:c r="F41" s="11" t="str">
        <x:v>single-label</x:v>
      </x:c>
      <x:c r="G41" s="11" t="str">
        <x:v>no external trace reported</x:v>
      </x:c>
      <x:c r="H41" s="11" t="str">
        <x:v>author-reported external clue</x:v>
      </x:c>
      <x:c r="I41" s="11" t="str">
        <x:v>source-linked lead</x:v>
      </x:c>
      <x:c r="J41" s="11" t="str">
        <x:v>https://arxiv.org/abs/2604.20179 | Paper pp. 1–5 (Abstract and pipeline), pp. 5–8 (system and PoC validation), pp. 8–12 (evaluation), and pp. 10–13 (new-package results/limitations). | excerpt pages 2</x:v>
      </x:c>
      <x:c r="K41" s="11" t="str">
        <x:v>[p.2] Ronghao Ni, Mihai Christodorescu, and Limin Jia • A systematic evaluation of a multi-stage ReAct-style LLM agent framework for taint-style vulnerability detection and confirmation in Node.js packages, with direct com- parison against state-of-the-art program-analysis tools and a program-analysis–aided LLM approach. • A multi-dataset evaluation setup for LLM-agent vulnerabil- ity research: combining standard public benchmarks, trans- formed benchmark variants for memorization robustness checks, a private real-world dataset without CVEs/public exploits, and recently released npm packages to assess gen- eralizability under realistic settings. •LLMVD.js identified 36 previously undocumented vuln</x:v>
      </x:c>
      <x:c r="L41" s="16" t="str">
        <x:v>A source-linked excerpt and locator are supplied as review leads; the cited source and locator should be retained for auditability.</x:v>
      </x:c>
      <x:c r="M41" s="16" t="str">
        <x:v>Code separately from principal output. Only item-level alignment between a concrete system result and a specific public external record qualifies as publicly aligned external trace.</x:v>
      </x:c>
      <x:c r="N41" s="16" t="str">
        <x:v>no external trace reported</x:v>
      </x:c>
      <x:c r="O41" s="16" t="str">
        <x:v>The cited source supports the selected label no external trace reported under the codebook's item-level public-record alignment criterion.</x:v>
      </x:c>
      <x:c r="P41" s="16" t="str">
        <x:v>https://arxiv.org/abs/2604.20179 | Paper pp. 1–5 (Abstract and pipeline), pp. 5–8 (system and PoC validation), pp. 8–12 (evaluation), and pp. 10–13 (new-package results/limitations). | excerpt pages 2</x:v>
      </x:c>
      <x:c r="Q41" s="16" t="str">
        <x:v>no</x:v>
      </x:c>
      <x:c r="R41" s="11" t="str"/>
      <x:c r="S41" s="11" t="str">
        <x:v>2026-08-12</x:v>
      </x:c>
      <x:c r="T41" s="18" t="str">
        <x:f>IF(OR(AND(N41="unresolved",LEN(O41)&gt;0,LEN(P41)&gt;0,Q41="yes"),AND(LEN(N41)&gt;0,LEN(O41)&gt;0,LEN(P41)&gt;0,OR(Q41="yes",Q41="no"))),"ready","pending")</x:f>
        <x:v>ready</x:v>
      </x:c>
    </x:row>
    <x:row r="42" ht="44" customHeight="1">
      <x:c r="A42" s="10" t="str">
        <x:v>C17__lifecycle</x:v>
      </x:c>
      <x:c r="B42" s="11" t="str">
        <x:v>C17</x:v>
      </x:c>
      <x:c r="C42" s="11" t="str">
        <x:v>released_67</x:v>
      </x:c>
      <x:c r="D42" s="11" t="str">
        <x:v>Synthesizing multi-agent harnesses for vulnerability discovery</x:v>
      </x:c>
      <x:c r="E42" s="11" t="str">
        <x:v>lifecycle coverage</x:v>
      </x:c>
      <x:c r="F42" s="11" t="str">
        <x:v>multi-label</x:v>
      </x:c>
      <x:c r="G42" s="11" t="str">
        <x:v>execution observation;path and input exploration;reporting and audit;reproduction and validation</x:v>
      </x:c>
      <x:c r="H42" s="11" t="str">
        <x:v>candidate analysis;execution observation;path and input exploration;reporting and audit;reproduction and validation</x:v>
      </x:c>
      <x:c r="I42" s="11" t="str">
        <x:v>source-linked lead</x:v>
      </x:c>
      <x:c r="J42" s="11" t="str">
        <x:v>https://arxiv.org/abs/2604.20801 | Paper pp. 1–3 (Abstract and motivating harness), pp. 5–9 (typed DSL and outer loop), and pp. 9–12 (evaluation, Table 2 and vendor-confirmed CVEs). | excerpt pages 10, 1</x:v>
      </x:c>
      <x:c r="K42" s="11" t="str">
        <x:v>[p.10] Benchmarks.TerminalBench-2 is the public agent-harness leader- board: a fixed pool of89long-horizon terminal tasks (code transla- tion, machine-learning pipeline reconstruction, distributed-systems setup, cryptanalysis, memory-corruption analysis, vulnerability re- mediation, secret recovery), each graded by a hidden test suite under a fixed wall-clock budget, with a public ranking of complete systems (harness plus model) on each LLM model. [p.1] In the simplest deployment, a single language model operates as asecurity agent: the operator hands it atarget program(the software under analysis, e.g.libtiff, OpenSSL,curl), gives it asystem promptthat states its goal in natural language (“find a memory-safety vulnerability in the TIFF parsing module”), and exposes a set oftools: concrete actions the model may invoke at each step (read source files, compile the target with instrumentation, execute the binary, inspect output).</x:v>
      </x:c>
      <x:c r="L42" s="16" t="str">
        <x:v>A source-linked excerpt and locator are supplied as review leads; the cited source and locator should be retained for auditability.</x:v>
      </x:c>
      <x:c r="M42" s="16" t="str">
        <x:v>Mark only observable lifecycle actions or outputs. Reporting and audit requires explicit packaging, routing, disclosure, or audit transition; a report name alone is insufficient.</x:v>
      </x:c>
      <x:c r="N42" s="16" t="str">
        <x:v>path and input exploration;execution observation;reproduction and validation;reporting and audit</x:v>
      </x:c>
      <x:c r="O42" s="16" t="str">
        <x:v>The cited source supports the selected label path and input exploration;execution observation;reproduction and validation;reporting and audit; only observable workflow actions or outputs were retained.</x:v>
      </x:c>
      <x:c r="P42" s="16" t="str">
        <x:v>https://arxiv.org/abs/2604.20801 | Paper pp. 1–3 (Abstract and motivating harness), pp. 5–9 (typed DSL and outer loop), and pp. 9–12 (evaluation, Table 2 and vendor-confirmed CVEs). | excerpt pages 10, 1</x:v>
      </x:c>
      <x:c r="Q42" s="16" t="str">
        <x:v>no</x:v>
      </x:c>
      <x:c r="R42" s="11" t="str"/>
      <x:c r="S42" s="11" t="str">
        <x:v>2026-08-12</x:v>
      </x:c>
      <x:c r="T42" s="18" t="str">
        <x:f>IF(OR(AND(N42="unresolved",LEN(O42)&gt;0,LEN(P42)&gt;0,Q42="yes"),AND(LEN(N42)&gt;0,LEN(O42)&gt;0,LEN(P42)&gt;0,OR(Q42="yes",Q42="no"))),"ready","pending")</x:f>
        <x:v>ready</x:v>
      </x:c>
    </x:row>
    <x:row r="43" ht="44" customHeight="1">
      <x:c r="A43" s="10" t="str">
        <x:v>C17__capability</x:v>
      </x:c>
      <x:c r="B43" s="11" t="str">
        <x:v>C17</x:v>
      </x:c>
      <x:c r="C43" s="11" t="str">
        <x:v>released_67</x:v>
      </x:c>
      <x:c r="D43" s="11" t="str">
        <x:v>Synthesizing multi-agent harnesses for vulnerability discovery</x:v>
      </x:c>
      <x:c r="E43" s="11" t="str">
        <x:v>cross-stage capability</x:v>
      </x:c>
      <x:c r="F43" s="11" t="str">
        <x:v>multi-label</x:v>
      </x:c>
      <x:c r="G43" s="11" t="str">
        <x:v>failure reuse / strategy update;feedback interpretation / loop adjustment;long-horizon state management;tool routing / strategy routing;validation organization / evidence packaging</x:v>
      </x:c>
      <x:c r="H43" s="11" t="str">
        <x:v>context aggregation / rule extraction;failure reuse / strategy update;feedback interpretation / loop adjustment;long-horizon state management;tool routing / strategy routing;validation organization / evidence packaging</x:v>
      </x:c>
      <x:c r="I43" s="11" t="str">
        <x:v>source-linked lead</x:v>
      </x:c>
      <x:c r="J43" s="11" t="str">
        <x:v>https://arxiv.org/abs/2604.20801 | Paper pp. 1–3 (Abstract and motivating harness), pp. 5–9 (typed DSL and outer loop), and pp. 9–12 (evaluation, Table 2 and vendor-confirmed CVEs). | excerpt pages 11, 1</x:v>
      </x:c>
      <x:c r="K43" s="11" t="str">
        <x:v>[p.11] Meta- Harness [25] rewrites a single agent’s prompts, tool bindings, and context-building code through a free-form Claude Code session, so the lone agentspecificationis partially mutated each iteration (Σ, Φ, and the prompt-level slice of A), but the team cardinality stays at |A |=1: no edit introduces a second agent role or any inter-agent coordination, so any failure mode that needs more than one role is structurally out of reach. [p.1] First, real security targets produce voluminous output: a single instrumented Chrome build emits megabytes of sanitizer and coverage data per run, quickly exhausting even frontier-scale context windows (on the order of200K tokens).</x:v>
      </x:c>
      <x:c r="L43" s="16" t="str">
        <x:v>A source-linked excerpt and locator are supplied as review leads; the cited source and locator should be retained for auditability.</x:v>
      </x:c>
      <x:c r="M43" s="16" t="str">
        <x:v>Require an explicit cross-stage connection. Information must guide later action; feedback must alter later action; packaging must assemble prior outputs; governance must enforce an actual gate.</x:v>
      </x:c>
      <x:c r="N43" s="16" t="str">
        <x:v>tool routing / strategy routing;feedback interpretation / loop adjustment;validation organization / evidence packaging;long-horizon state management;failure reuse / strategy update</x:v>
      </x:c>
      <x:c r="O43" s="16" t="str">
        <x:v>The cited source supports the selected label 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43" s="16" t="str">
        <x:v>https://arxiv.org/abs/2604.20801 | Paper pp. 1–3 (Abstract and motivating harness), pp. 5–9 (typed DSL and outer loop), and pp. 9–12 (evaluation, Table 2 and vendor-confirmed CVEs). | excerpt pages 11, 1</x:v>
      </x:c>
      <x:c r="Q43" s="16" t="str">
        <x:v>no</x:v>
      </x:c>
      <x:c r="R43" s="11" t="str"/>
      <x:c r="S43" s="11" t="str">
        <x:v>2026-08-12</x:v>
      </x:c>
      <x:c r="T43" s="18" t="str">
        <x:f>IF(OR(AND(N43="unresolved",LEN(O43)&gt;0,LEN(P43)&gt;0,Q43="yes"),AND(LEN(N43)&gt;0,LEN(O43)&gt;0,LEN(P43)&gt;0,OR(Q43="yes",Q43="no"))),"ready","pending")</x:f>
        <x:v>ready</x:v>
      </x:c>
    </x:row>
    <x:row r="44" ht="44" customHeight="1">
      <x:c r="A44" s="10" t="str">
        <x:v>C17__primary_shape</x:v>
      </x:c>
      <x:c r="B44" s="11" t="str">
        <x:v>C17</x:v>
      </x:c>
      <x:c r="C44" s="11" t="str">
        <x:v>released_67</x:v>
      </x:c>
      <x:c r="D44" s="11" t="str">
        <x:v>Synthesizing multi-agent harnesses for vulnerability discovery</x:v>
      </x:c>
      <x:c r="E44" s="11" t="str">
        <x:v>primary system shape</x:v>
      </x:c>
      <x:c r="F44" s="11" t="str">
        <x:v>single-label</x:v>
      </x:c>
      <x:c r="G44" s="11" t="str">
        <x:v>reproduction-, validation-, and repair-centered agent</x:v>
      </x:c>
      <x:c r="H44" s="11" t="str">
        <x:v>long-horizon pentest and CRS agent</x:v>
      </x:c>
      <x:c r="I44" s="11" t="str">
        <x:v>source-linked lead</x:v>
      </x:c>
      <x:c r="J44" s="11" t="str">
        <x:v>https://arxiv.org/abs/2604.20801 | Paper pp. 1–3 (Abstract and motivating harness), pp. 5–9 (typed DSL and outer loop), and pp. 9–12 (evaluation, Table 2 and vendor-confirmed CVEs). | excerpt pages 7</x:v>
      </x:c>
      <x:c r="K44" s="11" t="str">
        <x:v>[p.7] Output: discovered vulnerabilities with proof- of-concept (PoC) exploit inputs. [p.7] Synthesizing Multi-Agent Harnesses for Vulnerability Discovery Target Software Chrome $ _ Terminal- Bench-2 libheif Harness DSL ⟨ A,G,Σ,Φ,Ψ⟩ AgentFlow ♂lightbulbPropose♂playExecute &amp; Observe /char◎-barScore/stethoscopeDiagnose Harness optimize Output BUG Vulnerability PoC Exploit Figure 4: High-level overview of theAgentFlowoptimiza- tion loop (Algorithm 1).</x:v>
      </x:c>
      <x:c r="L44" s="16" t="str">
        <x:v>A source-linked excerpt and locator are supplied as review leads; the cited source and locator should be retained for auditability.</x:v>
      </x:c>
      <x:c r="M44" s="16" t="str">
        <x:v>Choose the dominant locus and objective of agent control in the main evaluated contribution. Use the evaluation task and primary metrics to resolve ties; do not infer from agent count or system name.</x:v>
      </x:c>
      <x:c r="N44" s="16" t="str">
        <x:v>reproduction-, validation-, and repair-centered agent</x:v>
      </x:c>
      <x:c r="O44" s="16" t="str">
        <x:v>The cited source supports the selected label reproduction-, validation-, and repair-centered agent as the dominant evaluated locus and objective of agent control.</x:v>
      </x:c>
      <x:c r="P44" s="16" t="str">
        <x:v>https://arxiv.org/abs/2604.20801 | Paper pp. 1–3 (Abstract and motivating harness), pp. 5–9 (typed DSL and outer loop), and pp. 9–12 (evaluation, Table 2 and vendor-confirmed CVEs). | excerpt pages 7</x:v>
      </x:c>
      <x:c r="Q44" s="16" t="str">
        <x:v>no</x:v>
      </x:c>
      <x:c r="R44" s="11" t="str"/>
      <x:c r="S44" s="11" t="str">
        <x:v>2026-08-12</x:v>
      </x:c>
      <x:c r="T44" s="18" t="str">
        <x:f>IF(OR(AND(N44="unresolved",LEN(O44)&gt;0,LEN(P44)&gt;0,Q44="yes"),AND(LEN(N44)&gt;0,LEN(O44)&gt;0,LEN(P44)&gt;0,OR(Q44="yes",Q44="no"))),"ready","pending")</x:f>
        <x:v>ready</x:v>
      </x:c>
    </x:row>
    <x:row r="45" ht="44" customHeight="1">
      <x:c r="A45" s="10" t="str">
        <x:v>C17__principal_evidence</x:v>
      </x:c>
      <x:c r="B45" s="11" t="str">
        <x:v>C17</x:v>
      </x:c>
      <x:c r="C45" s="11" t="str">
        <x:v>released_67</x:v>
      </x:c>
      <x:c r="D45" s="11" t="str">
        <x:v>Synthesizing multi-agent harnesses for vulnerability discovery</x:v>
      </x:c>
      <x:c r="E45" s="11" t="str">
        <x:v>principal reported evidence output</x:v>
      </x:c>
      <x:c r="F45" s="11" t="str">
        <x:v>single-label</x:v>
      </x:c>
      <x:c r="G45" s="11" t="str">
        <x:v>reproducible validation</x:v>
      </x:c>
      <x:c r="H45" s="11" t="str">
        <x:v>externally traceable material</x:v>
      </x:c>
      <x:c r="I45" s="11" t="str">
        <x:v>source-linked lead</x:v>
      </x:c>
      <x:c r="J45" s="11" t="str">
        <x:v>https://arxiv.org/abs/2604.20801 | Paper pp. 1–3 (Abstract and motivating harness), pp. 5–9 (typed DSL and outer loop), and pp. 9–12 (evaluation, Table 2 and vendor-confirmed CVEs). | excerpt pages 3</x:v>
      </x:c>
      <x:c r="K45" s="11" t="str">
        <x:v>[p.3] The harness has produced a small, reproducible HEIF file that triggers the heap-buffer-overflow found in CVE-2020-23109. [p.3] Synthesizing Multi-Agent Harnesses for Vulnerability Discovery Input // heif_colorconv.cc voidconvert_colsp( Image* in, out) { intw = in-&gt;width; if(in_a &amp;&amp; out_a) memcpy(dst, src,w*2); } libheif AgentFlow Propose Execute &amp; Observe Score Diagnose Iter 1 Harness𝐻0 agent libheif stderr file rejected by parser ×fail format not satisfied Iter 2 Harness𝐻1 analyzer crafter libheif coverage no crash, exit 0 ×fail vuln. branch not reached Iter 3 Harness𝐻2 analyzer crafter verifier libheif coverage ASan retry heap-buffer-overflow ✓CVE triggered PoC constructed 0100110110110010 0110010101001000 0010101011010110 Output 0100110110110010 0110010101001000 0010101011010110 1100101101110100 10010110001110</x:v>
      </x:c>
      <x:c r="L45" s="16" t="str">
        <x:v>A source-linked excerpt and locator are supplied as review leads; the cited source and locator should be retained for auditability.</x:v>
      </x:c>
      <x:c r="M45" s="16" t="str">
        <x:v>Select the observable result most directly supporting the main finding. Benchmark ground truth or aggregate CVE counts do not automatically establish externally traceable material.</x:v>
      </x:c>
      <x:c r="N45" s="16" t="str">
        <x:v>reproducible validation</x:v>
      </x:c>
      <x:c r="O45" s="16" t="str">
        <x:v>The cited source supports the selected label reproducible validation as the main observable result reported for the study.</x:v>
      </x:c>
      <x:c r="P45" s="16" t="str">
        <x:v>https://arxiv.org/abs/2604.20801 | Paper pp. 1–3 (Abstract and motivating harness), pp. 5–9 (typed DSL and outer loop), and pp. 9–12 (evaluation, Table 2 and vendor-confirmed CVEs). | excerpt pages 3</x:v>
      </x:c>
      <x:c r="Q45" s="16" t="str">
        <x:v>no</x:v>
      </x:c>
      <x:c r="R45" s="11" t="str"/>
      <x:c r="S45" s="11" t="str">
        <x:v>2026-08-12</x:v>
      </x:c>
      <x:c r="T45" s="18" t="str">
        <x:f>IF(OR(AND(N45="unresolved",LEN(O45)&gt;0,LEN(P45)&gt;0,Q45="yes"),AND(LEN(N45)&gt;0,LEN(O45)&gt;0,LEN(P45)&gt;0,OR(Q45="yes",Q45="no"))),"ready","pending")</x:f>
        <x:v>ready</x:v>
      </x:c>
    </x:row>
    <x:row r="46" ht="44" customHeight="1">
      <x:c r="A46" s="10" t="str">
        <x:v>C17__external_traceability</x:v>
      </x:c>
      <x:c r="B46" s="11" t="str">
        <x:v>C17</x:v>
      </x:c>
      <x:c r="C46" s="11" t="str">
        <x:v>released_67</x:v>
      </x:c>
      <x:c r="D46" s="11" t="str">
        <x:v>Synthesizing multi-agent harnesses for vulnerability discovery</x:v>
      </x:c>
      <x:c r="E46" s="11" t="str">
        <x:v>external traceability</x:v>
      </x:c>
      <x:c r="F46" s="11" t="str">
        <x:v>single-label</x:v>
      </x:c>
      <x:c r="G46" s="11" t="str">
        <x:v>no external trace reported</x:v>
      </x:c>
      <x:c r="H46" s="11" t="str">
        <x:v>publicly aligned external trace</x:v>
      </x:c>
      <x:c r="I46" s="11" t="str">
        <x:v>source-linked lead</x:v>
      </x:c>
      <x:c r="J46" s="11" t="str">
        <x:v>https://arxiv.org/abs/2604.20801 | Paper pp. 1–3 (Abstract and motivating harness), pp. 5–9 (typed DSL and outer loop), and pp. 9–12 (evaluation, Table 2 and vendor-confirmed CVEs). | excerpt pages 2, 11</x:v>
      </x:c>
      <x:c r="K46" s="11" t="str">
        <x:v>[p.2] On theGoogle Chromecodebase (over 35 million lines of C/C++), the same synthesis loop, driven by the open-weight LLM model Kimi K2.5 [23], discoverstenpreviously unknown zero-day vulnerabilities, including two Critical sandbox- escape CVEs (CVE-2026-5280 and CVE-2026-6297), all confirmed by the vendor through the Chrome Vulnerability Reward Program. [p.11] Rows without a public CVE are listed under the accepted vendor identifier currently attached to the report.</x:v>
      </x:c>
      <x:c r="L46" s="16" t="str">
        <x:v>A source-linked excerpt and locator are supplied as review leads; the cited source and locator should be retained for auditability.</x:v>
      </x:c>
      <x:c r="M46" s="16" t="str">
        <x:v>Code separately from principal output. Only item-level alignment between a concrete system result and a specific public external record qualifies as publicly aligned external trace.</x:v>
      </x:c>
      <x:c r="N46" s="16" t="str">
        <x:v>no external trace reported</x:v>
      </x:c>
      <x:c r="O46" s="16" t="str">
        <x:v>The cited source supports the selected label no external trace reported under the codebook's item-level public-record alignment criterion.</x:v>
      </x:c>
      <x:c r="P46" s="16" t="str">
        <x:v>https://arxiv.org/abs/2604.20801 | Paper pp. 1–3 (Abstract and motivating harness), pp. 5–9 (typed DSL and outer loop), and pp. 9–12 (evaluation, Table 2 and vendor-confirmed CVEs). | excerpt pages 2, 11</x:v>
      </x:c>
      <x:c r="Q46" s="16" t="str">
        <x:v>no</x:v>
      </x:c>
      <x:c r="R46" s="11" t="str"/>
      <x:c r="S46" s="11" t="str">
        <x:v>2026-08-12</x:v>
      </x:c>
      <x:c r="T46" s="18" t="str">
        <x:f>IF(OR(AND(N46="unresolved",LEN(O46)&gt;0,LEN(P46)&gt;0,Q46="yes"),AND(LEN(N46)&gt;0,LEN(O46)&gt;0,LEN(P46)&gt;0,OR(Q46="yes",Q46="no"))),"ready","pending")</x:f>
        <x:v>ready</x:v>
      </x:c>
    </x:row>
    <x:row r="47" ht="44" customHeight="1">
      <x:c r="A47" s="10" t="str">
        <x:v>C18__lifecycle</x:v>
      </x:c>
      <x:c r="B47" s="11" t="str">
        <x:v>C18</x:v>
      </x:c>
      <x:c r="C47" s="11" t="str">
        <x:v>released_67</x:v>
      </x:c>
      <x:c r="D47" s="11" t="str">
        <x:v>PentestAgent: incorporating LLM agents to automated penetration testing</x:v>
      </x:c>
      <x:c r="E47" s="11" t="str">
        <x:v>lifecycle coverage</x:v>
      </x:c>
      <x:c r="F47" s="11" t="str">
        <x:v>multi-label</x:v>
      </x:c>
      <x:c r="G47" s="11" t="str">
        <x:v>candidate analysis;execution observation;path and input exploration</x:v>
      </x:c>
      <x:c r="H47" s="11" t="str">
        <x:v>candidate analysis;execution observation;path and input exploration;reporting and audit;reproduction and validation</x:v>
      </x:c>
      <x:c r="I47" s="11" t="str">
        <x:v>source-linked lead</x:v>
      </x:c>
      <x:c r="J47" s="11" t="str">
        <x:v>urn:isbn:979-8-4007-1410-8 | Paper pp. 1–5 (Abstract/background), pp. 5–8 (system overview and agents), and pp. 8–12 (evaluation and limitations). | excerpt pages 1, 5</x:v>
      </x:c>
      <x:c r="K47" s="11" t="str">
        <x:v>[p.1] This complex process involves gathering information about the target system, identifying entry points, exploiting the system, and reporting findings. [p.5] PentestAgent: Incorporating LLM Agents to Automated Penetration Testing ASIA CCS ’25, August 25–29, 2025, Hanoi, Vietnam RAG – Coarse-grained Attack Knowledge Agents – End-to-End Pentesting Recon Agent Planning Agent 1 Target Host Environmental Information Potential Attack Surface 1 Vulnerability DB Attack Report CVE …… DB Planning Agent 2 Exploit 1 Exploit 2 Exploit 3 …… RAG – Execution History &amp; Environmental Information Potential Attack Surface 2 Potential Attack Surface 3 …… RAG – Procedure-level Attack Knowledge Exploit poc Security articles …… DB Execution Agent Exposed app/services Attack performed …… DB Exposed App/Service Attack Performed Success GitLab 13.10.1 CVE-2021-22205 √ GitL</x:v>
      </x:c>
      <x:c r="L47" s="16" t="str">
        <x:v>A source-linked excerpt and locator are supplied as review leads; the cited source and locator should be retained for auditability.</x:v>
      </x:c>
      <x:c r="M47" s="16" t="str">
        <x:v>Mark only observable lifecycle actions or outputs. Reporting and audit requires explicit packaging, routing, disclosure, or audit transition; a report name alone is insufficient.</x:v>
      </x:c>
      <x:c r="N47" s="16" t="str">
        <x:v>candidate analysis;path and input exploration;execution observation</x:v>
      </x:c>
      <x:c r="O47" s="16" t="str">
        <x:v>The cited source supports the selected label candidate analysis;path and input exploration;execution observation; only observable workflow actions or outputs were retained.</x:v>
      </x:c>
      <x:c r="P47" s="16" t="str">
        <x:v>urn:isbn:979-8-4007-1410-8 | Paper pp. 1–5 (Abstract/background), pp. 5–8 (system overview and agents), and pp. 8–12 (evaluation and limitations). | excerpt pages 1, 5</x:v>
      </x:c>
      <x:c r="Q47" s="16" t="str">
        <x:v>no</x:v>
      </x:c>
      <x:c r="R47" s="11" t="str"/>
      <x:c r="S47" s="11" t="str">
        <x:v>2026-08-12</x:v>
      </x:c>
      <x:c r="T47" s="18" t="str">
        <x:f>IF(OR(AND(N47="unresolved",LEN(O47)&gt;0,LEN(P47)&gt;0,Q47="yes"),AND(LEN(N47)&gt;0,LEN(O47)&gt;0,LEN(P47)&gt;0,OR(Q47="yes",Q47="no"))),"ready","pending")</x:f>
        <x:v>ready</x:v>
      </x:c>
    </x:row>
    <x:row r="48" ht="44" customHeight="1">
      <x:c r="A48" s="10" t="str">
        <x:v>C18__capability</x:v>
      </x:c>
      <x:c r="B48" s="11" t="str">
        <x:v>C18</x:v>
      </x:c>
      <x:c r="C48" s="11" t="str">
        <x:v>released_67</x:v>
      </x:c>
      <x:c r="D48" s="11" t="str">
        <x:v>PentestAgent: incorporating LLM agents to automated penetration testing</x:v>
      </x:c>
      <x:c r="E48" s="11" t="str">
        <x:v>cross-stage capability</x:v>
      </x:c>
      <x:c r="F48" s="11" t="str">
        <x:v>multi-label</x:v>
      </x:c>
      <x:c r="G48" s="11" t="str">
        <x:v>context aggregation / rule extraction;long-horizon state management;tool routing / strategy routing</x:v>
      </x:c>
      <x:c r="H48" s="11" t="str">
        <x:v>context aggregation / rule extraction;feedback interpretation / loop adjustment;long-horizon state management;tool routing / strategy routing;validation organization / evidence packaging</x:v>
      </x:c>
      <x:c r="I48" s="11" t="str">
        <x:v>source-linked lead</x:v>
      </x:c>
      <x:c r="J48" s="11" t="str">
        <x:v>urn:isbn:979-8-4007-1410-8 | Paper pp. 1–5 (Abstract/background), pp. 5–8 (system overview and agents), and pp. 8–12 (evaluation and limitations). | excerpt pages 5</x:v>
      </x:c>
      <x:c r="K48" s="11" t="str">
        <x:v>[p.5] PentestAgent: Incorporating LLM Agents to Automated Penetration Testing ASIA CCS ’25, August 25–29, 2025, Hanoi, Vietnam RAG – Coarse-grained Attack Knowledge Agents – End-to-End Pentesting Recon Agent Planning Agent 1 Target Host Environmental Information Potential Attack Surface 1 Vulnerability DB Attack Report CVE …… DB Planning Agent 2 Exploit 1 Exploit 2 Exploit 3 …… RAG – Execution History &amp; Environmental Information Potential Attack Surface 2 Potential Attack Surface 3 …… RAG – Procedure-level Attack Knowledge Exploit poc Security articles …… DB Execution Agent Exposed app/services Attack performed …… DB Exposed App/Service Attack Performed Success GitLab 13.10.1 CVE-2021-22205 √ GitL</x:v>
      </x:c>
      <x:c r="L48" s="16" t="str">
        <x:v>A source-linked excerpt and locator are supplied as review leads; the cited source and locator should be retained for auditability.</x:v>
      </x:c>
      <x:c r="M48" s="16" t="str">
        <x:v>Require an explicit cross-stage connection. Information must guide later action; feedback must alter later action; packaging must assemble prior outputs; governance must enforce an actual gate.</x:v>
      </x:c>
      <x:c r="N48" s="16" t="str">
        <x:v>context aggregation / rule extraction;tool routing / strategy routing;long-horizon state management</x:v>
      </x:c>
      <x:c r="O48" s="16" t="str">
        <x:v>The cited source supports the selected label context aggregation / rule extraction;tool routing / strategy routing;long-horizon state management; each retained label requires an explicit connection that guides later action, feedback, packaging, or a gate.</x:v>
      </x:c>
      <x:c r="P48" s="16" t="str">
        <x:v>urn:isbn:979-8-4007-1410-8 | Paper pp. 1–5 (Abstract/background), pp. 5–8 (system overview and agents), and pp. 8–12 (evaluation and limitations). | excerpt pages 5</x:v>
      </x:c>
      <x:c r="Q48" s="16" t="str">
        <x:v>no</x:v>
      </x:c>
      <x:c r="R48" s="11" t="str"/>
      <x:c r="S48" s="11" t="str">
        <x:v>2026-08-12</x:v>
      </x:c>
      <x:c r="T48" s="18" t="str">
        <x:f>IF(OR(AND(N48="unresolved",LEN(O48)&gt;0,LEN(P48)&gt;0,Q48="yes"),AND(LEN(N48)&gt;0,LEN(O48)&gt;0,LEN(P48)&gt;0,OR(Q48="yes",Q48="no"))),"ready","pending")</x:f>
        <x:v>ready</x:v>
      </x:c>
    </x:row>
    <x:row r="49" ht="44" customHeight="1">
      <x:c r="A49" s="10" t="str">
        <x:v>C18__external_traceability</x:v>
      </x:c>
      <x:c r="B49" s="11" t="str">
        <x:v>C18</x:v>
      </x:c>
      <x:c r="C49" s="11" t="str">
        <x:v>released_67</x:v>
      </x:c>
      <x:c r="D49" s="11" t="str">
        <x:v>PentestAgent: incorporating LLM agents to automated penetration testing</x:v>
      </x:c>
      <x:c r="E49" s="11" t="str">
        <x:v>external traceability</x:v>
      </x:c>
      <x:c r="F49" s="11" t="str">
        <x:v>single-label</x:v>
      </x:c>
      <x:c r="G49" s="11" t="str">
        <x:v>no external trace reported</x:v>
      </x:c>
      <x:c r="H49" s="11" t="str">
        <x:v>benchmark ground truth / public material</x:v>
      </x:c>
      <x:c r="I49" s="11" t="str">
        <x:v>source-linked lead</x:v>
      </x:c>
      <x:c r="J49" s="11" t="str">
        <x:v>urn:isbn:979-8-4007-1410-8 | Paper pp. 1–5 (Abstract/background), pp. 5–8 (system overview and agents), and pp. 8–12 (evaluation and limitations). | excerpt pages 2, 8</x:v>
      </x:c>
      <x:c r="K49" s="11" t="str">
        <x:v>[p.2] We make our benchmark datasets and framework publicly avail- able to facilitate further research in automated penetration testing.1 2 Background and Related Work 2.1 Penetration Testing Penetration testing (pentesting) is a structured, multi-stage process designed to identify security vulnerabilities in systems. [p.8] 4.1 Evaluation Setup 4.1.1 Benchmark Dataset.</x:v>
      </x:c>
      <x:c r="L49" s="16" t="str">
        <x:v>A source-linked excerpt and locator are supplied as review leads; the cited source and locator should be retained for auditability.</x:v>
      </x:c>
      <x:c r="M49" s="16" t="str">
        <x:v>Code separately from principal output. Only item-level alignment between a concrete system result and a specific public external record qualifies as publicly aligned external trace.</x:v>
      </x:c>
      <x:c r="N49" s="16" t="str">
        <x:v>no external trace reported</x:v>
      </x:c>
      <x:c r="O49" s="16" t="str">
        <x:v>The cited source supports the selected label no external trace reported under the codebook's item-level public-record alignment criterion.</x:v>
      </x:c>
      <x:c r="P49" s="16" t="str">
        <x:v>urn:isbn:979-8-4007-1410-8 | Paper pp. 1–5 (Abstract/background), pp. 5–8 (system overview and agents), and pp. 8–12 (evaluation and limitations). | excerpt pages 2, 8</x:v>
      </x:c>
      <x:c r="Q49" s="16" t="str">
        <x:v>no</x:v>
      </x:c>
      <x:c r="R49" s="11" t="str"/>
      <x:c r="S49" s="11" t="str">
        <x:v>2026-08-12</x:v>
      </x:c>
      <x:c r="T49" s="18" t="str">
        <x:f>IF(OR(AND(N49="unresolved",LEN(O49)&gt;0,LEN(P49)&gt;0,Q49="yes"),AND(LEN(N49)&gt;0,LEN(O49)&gt;0,LEN(P49)&gt;0,OR(Q49="yes",Q49="no"))),"ready","pending")</x:f>
        <x:v>ready</x:v>
      </x:c>
    </x:row>
    <x:row r="50" ht="44" customHeight="1">
      <x:c r="A50" s="10" t="str">
        <x:v>C19__lifecycle</x:v>
      </x:c>
      <x:c r="B50" s="11" t="str">
        <x:v>C19</x:v>
      </x:c>
      <x:c r="C50" s="11" t="str">
        <x:v>released_67</x:v>
      </x:c>
      <x:c r="D50" s="11" t="str">
        <x:v>LIVA: a multi-agent LLM-assisted system for IoT vulnerability analysis</x:v>
      </x:c>
      <x:c r="E50" s="11" t="str">
        <x:v>lifecycle coverage</x:v>
      </x:c>
      <x:c r="F50" s="11" t="str">
        <x:v>multi-label</x:v>
      </x:c>
      <x:c r="G50" s="11" t="str">
        <x:v>candidate analysis</x:v>
      </x:c>
      <x:c r="H50" s="11" t="str">
        <x:v>candidate analysis;reporting and audit</x:v>
      </x:c>
      <x:c r="I50" s="11" t="str">
        <x:v>source-linked lead</x:v>
      </x:c>
      <x:c r="J50" s="11" t="str">
        <x:v>https://doi.org/10.1109/TDSC.2026.3665343 | Paper pp. 1–3 (Abstract and contributions), pp. 5–8 (source/sink and taint-analysis agents), pp. 8–13 (evaluation), and p. 13 (vendor/device-to-CVE/CNVD table). | excerpt pages 1, 2</x:v>
      </x:c>
      <x:c r="K50" s="11" t="str">
        <x:v>[p.1] Check Point’s “2025 Cybersecurity Report” indicates a 44% increase in global cyberattacks since 2023, with 37% specifically targeting edge devices and network infrastructure [2]. [p.2] Beyond the detection of known vulnerabilities, real-world validation of Liva revealed 64 previously undisclosed security flaws, with 39 successfully obtaining official CVE/CNVD designations.</x:v>
      </x:c>
      <x:c r="L50" s="16" t="str">
        <x:v>A source-linked excerpt and locator are supplied as review leads; the cited source and locator should be retained for auditability.</x:v>
      </x:c>
      <x:c r="M50" s="16" t="str">
        <x:v>Mark only observable lifecycle actions or outputs. Reporting and audit requires explicit packaging, routing, disclosure, or audit transition; a report name alone is insufficient.</x:v>
      </x:c>
      <x:c r="N50" s="16" t="str">
        <x:v>candidate analysis</x:v>
      </x:c>
      <x:c r="O50" s="16" t="str">
        <x:v>The cited source supports the selected label candidate analysis; only observable workflow actions or outputs were retained.</x:v>
      </x:c>
      <x:c r="P50" s="16" t="str">
        <x:v>https://doi.org/10.1109/TDSC.2026.3665343 | Paper pp. 1–3 (Abstract and contributions), pp. 5–8 (source/sink and taint-analysis agents), pp. 8–13 (evaluation), and p. 13 (vendor/device-to-CVE/CNVD table). | excerpt pages 1, 2</x:v>
      </x:c>
      <x:c r="Q50" s="16" t="str">
        <x:v>no</x:v>
      </x:c>
      <x:c r="R50" s="11" t="str"/>
      <x:c r="S50" s="11" t="str">
        <x:v>2026-08-12</x:v>
      </x:c>
      <x:c r="T50" s="18" t="str">
        <x:f>IF(OR(AND(N50="unresolved",LEN(O50)&gt;0,LEN(P50)&gt;0,Q50="yes"),AND(LEN(N50)&gt;0,LEN(O50)&gt;0,LEN(P50)&gt;0,OR(Q50="yes",Q50="no"))),"ready","pending")</x:f>
        <x:v>ready</x:v>
      </x:c>
    </x:row>
    <x:row r="51" ht="44" customHeight="1">
      <x:c r="A51" s="10" t="str">
        <x:v>C19__principal_evidence</x:v>
      </x:c>
      <x:c r="B51" s="11" t="str">
        <x:v>C19</x:v>
      </x:c>
      <x:c r="C51" s="11" t="str">
        <x:v>released_67</x:v>
      </x:c>
      <x:c r="D51" s="11" t="str">
        <x:v>LIVA: a multi-agent LLM-assisted system for IoT vulnerability analysis</x:v>
      </x:c>
      <x:c r="E51" s="11" t="str">
        <x:v>principal reported evidence output</x:v>
      </x:c>
      <x:c r="F51" s="11" t="str">
        <x:v>single-label</x:v>
      </x:c>
      <x:c r="G51" s="11" t="str">
        <x:v>candidate judgment</x:v>
      </x:c>
      <x:c r="H51" s="11" t="str">
        <x:v>externally traceable material</x:v>
      </x:c>
      <x:c r="I51" s="11" t="str">
        <x:v>source-linked lead</x:v>
      </x:c>
      <x:c r="J51" s="11" t="str">
        <x:v>https://doi.org/10.1109/TDSC.2026.3665343 | Paper pp. 1–3 (Abstract and contributions), pp. 5–8 (source/sink and taint-analysis agents), pp. 8–13 (evaluation), and p. 13 (vendor/device-to-CVE/CNVD table). | excerpt pages 2, 9</x:v>
      </x:c>
      <x:c r="K51" s="11" t="str">
        <x:v>[p.2] Beyond the detection of known vulnerabilities, real-world validation of Liva revealed 64 previously undisclosed security flaws, with 39 successfully obtaining official CVE/CNVD designations. [p.9] To evaluate the effectiveness of Liva in firmware vulnerability detection, we adopt five common classification metrics: Alerts, True Positives (TP) , False Negatives (FN) , Precision, and Recall.</x:v>
      </x:c>
      <x:c r="L51" s="16" t="str">
        <x:v>A source-linked excerpt and locator are supplied as review leads; the cited source and locator should be retained for auditability.</x:v>
      </x:c>
      <x:c r="M51" s="16" t="str">
        <x:v>Select the observable result most directly supporting the main finding. Benchmark ground truth or aggregate CVE counts do not automatically establish externally traceable material.</x:v>
      </x:c>
      <x:c r="N51" s="16" t="str">
        <x:v>candidate judgment</x:v>
      </x:c>
      <x:c r="O51" s="16" t="str">
        <x:v>The cited source supports the selected label candidate judgment as the main observable result reported for the study.</x:v>
      </x:c>
      <x:c r="P51" s="16" t="str">
        <x:v>https://doi.org/10.1109/TDSC.2026.3665343 | Paper pp. 1–3 (Abstract and contributions), pp. 5–8 (source/sink and taint-analysis agents), pp. 8–13 (evaluation), and p. 13 (vendor/device-to-CVE/CNVD table). | excerpt pages 2, 9</x:v>
      </x:c>
      <x:c r="Q51" s="16" t="str">
        <x:v>no</x:v>
      </x:c>
      <x:c r="R51" s="11" t="str"/>
      <x:c r="S51" s="11" t="str">
        <x:v>2026-08-12</x:v>
      </x:c>
      <x:c r="T51" s="18" t="str">
        <x:f>IF(OR(AND(N51="unresolved",LEN(O51)&gt;0,LEN(P51)&gt;0,Q51="yes"),AND(LEN(N51)&gt;0,LEN(O51)&gt;0,LEN(P51)&gt;0,OR(Q51="yes",Q51="no"))),"ready","pending")</x:f>
        <x:v>ready</x:v>
      </x:c>
    </x:row>
    <x:row r="52" ht="44" customHeight="1">
      <x:c r="A52" s="10" t="str">
        <x:v>C19__external_traceability</x:v>
      </x:c>
      <x:c r="B52" s="11" t="str">
        <x:v>C19</x:v>
      </x:c>
      <x:c r="C52" s="11" t="str">
        <x:v>released_67</x:v>
      </x:c>
      <x:c r="D52" s="11" t="str">
        <x:v>LIVA: a multi-agent LLM-assisted system for IoT vulnerability analysis</x:v>
      </x:c>
      <x:c r="E52" s="11" t="str">
        <x:v>external traceability</x:v>
      </x:c>
      <x:c r="F52" s="11" t="str">
        <x:v>single-label</x:v>
      </x:c>
      <x:c r="G52" s="11" t="str">
        <x:v>author-reported external clue</x:v>
      </x:c>
      <x:c r="H52" s="11" t="str">
        <x:v>publicly aligned external trace</x:v>
      </x:c>
      <x:c r="I52" s="11" t="str">
        <x:v>source-linked lead</x:v>
      </x:c>
      <x:c r="J52" s="11" t="str">
        <x:v>https://doi.org/10.1109/TDSC.2026.3665343 | Paper pp. 1–3 (Abstract and contributions), pp. 5–8 (source/sink and taint-analysis agents), pp. 8–13 (evaluation), and p. 13 (vendor/device-to-CVE/CNVD table). | excerpt pages 13, 2</x:v>
      </x:c>
      <x:c r="K52" s="11" t="str">
        <x:v>[p.13] These vulnerabilities were re- ported to the corresponding vendors and confirmed, with 39 already assigned official CVE or CNVD identifiers. [p.2] Beyond the detection of known vulnerabilities, real-world validation of Liva revealed 64 previously undisclosed security flaws, with 39 successfully obtaining official CVE/CNVD designations.</x:v>
      </x:c>
      <x:c r="L52" s="16" t="str">
        <x:v>A source-linked excerpt and locator are supplied as review leads; the cited source and locator should be retained for auditability.</x:v>
      </x:c>
      <x:c r="M52" s="16" t="str">
        <x:v>Code separately from principal output. Only item-level alignment between a concrete system result and a specific public external record qualifies as publicly aligned external trace.</x:v>
      </x:c>
      <x:c r="N52" s="16" t="str">
        <x:v>author-reported external clue</x:v>
      </x:c>
      <x:c r="O52" s="16" t="str">
        <x:v>The cited source supports the selected label author-reported external clue under the codebook's item-level public-record alignment criterion.</x:v>
      </x:c>
      <x:c r="P52" s="16" t="str">
        <x:v>https://doi.org/10.1109/TDSC.2026.3665343 | Paper pp. 1–3 (Abstract and contributions), pp. 5–8 (source/sink and taint-analysis agents), pp. 8–13 (evaluation), and p. 13 (vendor/device-to-CVE/CNVD table). | excerpt pages 13, 2</x:v>
      </x:c>
      <x:c r="Q52" s="16" t="str">
        <x:v>no</x:v>
      </x:c>
      <x:c r="R52" s="11" t="str"/>
      <x:c r="S52" s="11" t="str">
        <x:v>2026-08-12</x:v>
      </x:c>
      <x:c r="T52" s="18" t="str">
        <x:f>IF(OR(AND(N52="unresolved",LEN(O52)&gt;0,LEN(P52)&gt;0,Q52="yes"),AND(LEN(N52)&gt;0,LEN(O52)&gt;0,LEN(P52)&gt;0,OR(Q52="yes",Q52="no"))),"ready","pending")</x:f>
        <x:v>ready</x:v>
      </x:c>
    </x:row>
    <x:row r="53" ht="44" customHeight="1">
      <x:c r="A53" s="10" t="str">
        <x:v>C20__lifecycle</x:v>
      </x:c>
      <x:c r="B53" s="11" t="str">
        <x:v>C20</x:v>
      </x:c>
      <x:c r="C53" s="11" t="str">
        <x:v>released_67</x:v>
      </x:c>
      <x:c r="D53" s="11" t="str">
        <x:v>FirmAgent: leveraging fuzzing to assist LLM agents with IoT firmware vulnerability discovery</x:v>
      </x:c>
      <x:c r="E53" s="11" t="str">
        <x:v>lifecycle coverage</x:v>
      </x:c>
      <x:c r="F53" s="11" t="str">
        <x:v>multi-label</x:v>
      </x:c>
      <x:c r="G53" s="11" t="str">
        <x:v>candidate analysis;execution observation;path and input exploration;reproduction and validation</x:v>
      </x:c>
      <x:c r="H53" s="11" t="str">
        <x:v>candidate analysis;execution observation;path and input exploration;reporting and audit;reproduction and validation</x:v>
      </x:c>
      <x:c r="I53" s="11" t="str">
        <x:v>source-linked lead</x:v>
      </x:c>
      <x:c r="J53" s="11" t="str">
        <x:v>https://doi.org/10.14722/ndss.2026.231943 | Paper pp. 1–5 (Abstract/motivation), pp. 5–9 (fuzzing, taint and PoC agents), pp. 9–12 (Tables IV–VI and evaluation), and p. 14 (disclosure). | excerpt pages 1</x:v>
      </x:c>
      <x:c r="K53" s="11" t="str">
        <x:v>[p.1] Our findings indicate that fuzzing is highly effective at covering a wide range of input source points within firmware. [p.1] To address these challenges, we present FirmAgent, the first hybrid solution that leverages fuzzing to assist LLM agents in finding vulnerabilities in IoT firmware.</x:v>
      </x:c>
      <x:c r="L53" s="16" t="str">
        <x:v>A source-linked excerpt and locator are supplied as review leads; the cited source and locator should be retained for auditability.</x:v>
      </x:c>
      <x:c r="M53" s="16" t="str">
        <x:v>Mark only observable lifecycle actions or outputs. Reporting and audit requires explicit packaging, routing, disclosure, or audit transition; a report name alone is insufficient.</x:v>
      </x:c>
      <x:c r="N53" s="16" t="str">
        <x:v>candidate analysis;path and input exploration;execution observation;reproduction and validation</x:v>
      </x:c>
      <x:c r="O53" s="16" t="str">
        <x:v>The cited source supports the selected label candidate analysis;path and input exploration;execution observation;reproduction and validation; only observable workflow actions or outputs were retained.</x:v>
      </x:c>
      <x:c r="P53" s="16" t="str">
        <x:v>https://doi.org/10.14722/ndss.2026.231943 | Paper pp. 1–5 (Abstract/motivation), pp. 5–9 (fuzzing, taint and PoC agents), pp. 9–12 (Tables IV–VI and evaluation), and p. 14 (disclosure). | excerpt pages 1</x:v>
      </x:c>
      <x:c r="Q53" s="16" t="str">
        <x:v>no</x:v>
      </x:c>
      <x:c r="R53" s="11" t="str"/>
      <x:c r="S53" s="11" t="str">
        <x:v>2026-08-12</x:v>
      </x:c>
      <x:c r="T53" s="18" t="str">
        <x:f>IF(OR(AND(N53="unresolved",LEN(O53)&gt;0,LEN(P53)&gt;0,Q53="yes"),AND(LEN(N53)&gt;0,LEN(O53)&gt;0,LEN(P53)&gt;0,OR(Q53="yes",Q53="no"))),"ready","pending")</x:f>
        <x:v>ready</x:v>
      </x:c>
    </x:row>
    <x:row r="54" ht="44" customHeight="1">
      <x:c r="A54" s="10" t="str">
        <x:v>C21__lifecycle</x:v>
      </x:c>
      <x:c r="B54" s="11" t="str">
        <x:v>C21</x:v>
      </x:c>
      <x:c r="C54" s="11" t="str">
        <x:v>released_67</x:v>
      </x:c>
      <x:c r="D54" s="11" t="str">
        <x:v>PANGOLIN: fuzzing multilingual IoT firmware with LLM-driven code analysis</x:v>
      </x:c>
      <x:c r="E54" s="11" t="str">
        <x:v>lifecycle coverage</x:v>
      </x:c>
      <x:c r="F54" s="11" t="str">
        <x:v>multi-label</x:v>
      </x:c>
      <x:c r="G54" s="11" t="str">
        <x:v>candidate analysis;execution observation;path and input exploration</x:v>
      </x:c>
      <x:c r="H54" s="11" t="str">
        <x:v>candidate analysis;execution observation;path and input exploration;reporting and audit;reproduction and validation</x:v>
      </x:c>
      <x:c r="I54" s="11" t="str">
        <x:v>source-linked lead</x:v>
      </x:c>
      <x:c r="J54" s="11" t="str">
        <x:v>https://www.usenix.org/conference/usenixsecurity26/presentation/jia | Paper pp. 1–5 (Abstract and design), pp. 5–10 (specification generation/correction and fuzzing), pp. 10–14 (evaluation/disclosure), and Appendix C pp. 18–20 (IDs). | excerpt pages 1</x:v>
      </x:c>
      <x:c r="K54" s="11" t="str">
        <x:v>[p.1] Moreover, static analysis methods typically require extensive manual effort to verify the generated alerts. [p.1] As of the time of writing, all vulnerabil- ities have been reported to vendors and acknowledged, with 31 vulnerability IDs assigned.</x:v>
      </x:c>
      <x:c r="L54" s="16" t="str">
        <x:v>A source-linked excerpt and locator are supplied as review leads; the cited source and locator should be retained for auditability.</x:v>
      </x:c>
      <x:c r="M54" s="16" t="str">
        <x:v>Mark only observable lifecycle actions or outputs. Reporting and audit requires explicit packaging, routing, disclosure, or audit transition; a report name alone is insufficient.</x:v>
      </x:c>
      <x:c r="N54" s="16" t="str">
        <x:v>candidate analysis;path and input exploration;execution observation</x:v>
      </x:c>
      <x:c r="O54" s="16" t="str">
        <x:v>The cited source supports the selected label candidate analysis;path and input exploration;execution observation; only observable workflow actions or outputs were retained.</x:v>
      </x:c>
      <x:c r="P54" s="16" t="str">
        <x:v>https://www.usenix.org/conference/usenixsecurity26/presentation/jia | Paper pp. 1–5 (Abstract and design), pp. 5–10 (specification generation/correction and fuzzing), pp. 10–14 (evaluation/disclosure), and Appendix C pp. 18–20 (IDs). | excerpt pages 1</x:v>
      </x:c>
      <x:c r="Q54" s="16" t="str">
        <x:v>no</x:v>
      </x:c>
      <x:c r="R54" s="11" t="str"/>
      <x:c r="S54" s="11" t="str">
        <x:v>2026-08-12</x:v>
      </x:c>
      <x:c r="T54" s="18" t="str">
        <x:f>IF(OR(AND(N54="unresolved",LEN(O54)&gt;0,LEN(P54)&gt;0,Q54="yes"),AND(LEN(N54)&gt;0,LEN(O54)&gt;0,LEN(P54)&gt;0,OR(Q54="yes",Q54="no"))),"ready","pending")</x:f>
        <x:v>ready</x:v>
      </x:c>
    </x:row>
    <x:row r="55" ht="44" customHeight="1">
      <x:c r="A55" s="10" t="str">
        <x:v>C21__principal_evidence</x:v>
      </x:c>
      <x:c r="B55" s="11" t="str">
        <x:v>C21</x:v>
      </x:c>
      <x:c r="C55" s="11" t="str">
        <x:v>released_67</x:v>
      </x:c>
      <x:c r="D55" s="11" t="str">
        <x:v>PANGOLIN: fuzzing multilingual IoT firmware with LLM-driven code analysis</x:v>
      </x:c>
      <x:c r="E55" s="11" t="str">
        <x:v>principal reported evidence output</x:v>
      </x:c>
      <x:c r="F55" s="11" t="str">
        <x:v>single-label</x:v>
      </x:c>
      <x:c r="G55" s="11" t="str">
        <x:v>runtime safety signal</x:v>
      </x:c>
      <x:c r="H55" s="11" t="str">
        <x:v>externally traceable material</x:v>
      </x:c>
      <x:c r="I55" s="11" t="str">
        <x:v>source-linked lead</x:v>
      </x:c>
      <x:c r="J55" s="11" t="str">
        <x:v>https://www.usenix.org/conference/usenixsecurity26/presentation/jia | Paper pp. 1–5 (Abstract and design), pp. 5–10 (specification generation/correction and fuzzing), pp. 10–14 (evaluation/disclosure), and Appendix C pp. 18–20 (IDs). | excerpt pages 18</x:v>
      </x:c>
      <x:c r="K55" s="11" t="str">
        <x:v>[p.18] C Vulnerability Identifiers Table 8: Vulnerabilities discovered byPANGOLIN Brand Model Type Vuln IDs CVE/CNVD HIKSEMIMAGE20PRO CI 5 2 CNVD-2025-14195 CNVD-2025-14455Dos 1 leak 1 TP-LINKTL-IPC42A-4 CI 2 0 cisco IOS-XE(C) AFR 1 0 IOS-XE(ISR)AFU 1 0 CI 2 1 CNVD-2025-18467 Linksys E5600 CI 15 11 CVE-2025-29223 CVE-2025-(29226∼29231) CVE-2025-(45487∼45491)XSS 4 1 Netgear EX8000 CI 3 3 CVE-2025-(45492∼45493) CVE-2025-50526 EX6250 CI 3 3 CNVD-2025-(09131∼09132) CNVD-2025-12271 xiaomi R3A CI 3 1 CNVD-2025-13974 GL-iNet AR300M16 CI 6 6 CNVD-2025-14616 CNVD-2025-19408 CNVD-2025-19973 CNVD-2025-(20412∼20414) MT300N-V2 CI 6 0 XE300 CI 6 0 Ruijie EG105GW CI 9 3 CNVD-2025-05920 CNVD-2025-08689 CNVD-2025-0</x:v>
      </x:c>
      <x:c r="L55" s="16" t="str">
        <x:v>A source-linked excerpt and locator are supplied as review leads; the cited source and locator should be retained for auditability.</x:v>
      </x:c>
      <x:c r="M55" s="16" t="str">
        <x:v>Select the observable result most directly supporting the main finding. Benchmark ground truth or aggregate CVE counts do not automatically establish externally traceable material.</x:v>
      </x:c>
      <x:c r="N55" s="16" t="str">
        <x:v>runtime safety signal</x:v>
      </x:c>
      <x:c r="O55" s="16" t="str">
        <x:v>The cited source supports the selected label runtime safety signal as the main observable result reported for the study.</x:v>
      </x:c>
      <x:c r="P55" s="16" t="str">
        <x:v>https://www.usenix.org/conference/usenixsecurity26/presentation/jia | Paper pp. 1–5 (Abstract and design), pp. 5–10 (specification generation/correction and fuzzing), pp. 10–14 (evaluation/disclosure), and Appendix C pp. 18–20 (IDs). | excerpt pages 18</x:v>
      </x:c>
      <x:c r="Q55" s="16" t="str">
        <x:v>no</x:v>
      </x:c>
      <x:c r="R55" s="11" t="str"/>
      <x:c r="S55" s="11" t="str">
        <x:v>2026-08-12</x:v>
      </x:c>
      <x:c r="T55" s="18" t="str">
        <x:f>IF(OR(AND(N55="unresolved",LEN(O55)&gt;0,LEN(P55)&gt;0,Q55="yes"),AND(LEN(N55)&gt;0,LEN(O55)&gt;0,LEN(P55)&gt;0,OR(Q55="yes",Q55="no"))),"ready","pending")</x:f>
        <x:v>ready</x:v>
      </x:c>
    </x:row>
    <x:row r="56" ht="44" customHeight="1">
      <x:c r="A56" s="10" t="str">
        <x:v>C21__external_traceability</x:v>
      </x:c>
      <x:c r="B56" s="11" t="str">
        <x:v>C21</x:v>
      </x:c>
      <x:c r="C56" s="11" t="str">
        <x:v>released_67</x:v>
      </x:c>
      <x:c r="D56" s="11" t="str">
        <x:v>PANGOLIN: fuzzing multilingual IoT firmware with LLM-driven code analysis</x:v>
      </x:c>
      <x:c r="E56" s="11" t="str">
        <x:v>external traceability</x:v>
      </x:c>
      <x:c r="F56" s="11" t="str">
        <x:v>single-label</x:v>
      </x:c>
      <x:c r="G56" s="11" t="str">
        <x:v>author-reported external clue</x:v>
      </x:c>
      <x:c r="H56" s="11" t="str">
        <x:v>publicly aligned external trace</x:v>
      </x:c>
      <x:c r="I56" s="11" t="str">
        <x:v>source-linked lead</x:v>
      </x:c>
      <x:c r="J56" s="11" t="str">
        <x:v>https://www.usenix.org/conference/usenixsecurity26/presentation/jia | Paper pp. 1–5 (Abstract and design), pp. 5–10 (specification generation/correction and fuzzing), pp. 10–14 (evaluation/disclosure), and Appendix C pp. 18–20 (IDs). | excerpt pages 2, 10</x:v>
      </x:c>
      <x:c r="K56" s="11" t="str">
        <x:v>[p.2] As of now, all vulnerabilities have been confirmed by vendors, and 31 have been as- signed IDs. [p.10] As of now, all of them have been confirmed by the vendors, and 31 vulnerability IDs have been assigned.</x:v>
      </x:c>
      <x:c r="L56" s="16" t="str">
        <x:v>A source-linked excerpt and locator are supplied as review leads; the cited source and locator should be retained for auditability.</x:v>
      </x:c>
      <x:c r="M56" s="16" t="str">
        <x:v>Code separately from principal output. Only item-level alignment between a concrete system result and a specific public external record qualifies as publicly aligned external trace.</x:v>
      </x:c>
      <x:c r="N56" s="16" t="str">
        <x:v>author-reported external clue</x:v>
      </x:c>
      <x:c r="O56" s="16" t="str">
        <x:v>The cited source supports the selected label author-reported external clue under the codebook's item-level public-record alignment criterion.</x:v>
      </x:c>
      <x:c r="P56" s="16" t="str">
        <x:v>https://www.usenix.org/conference/usenixsecurity26/presentation/jia | Paper pp. 1–5 (Abstract and design), pp. 5–10 (specification generation/correction and fuzzing), pp. 10–14 (evaluation/disclosure), and Appendix C pp. 18–20 (IDs). | excerpt pages 2, 10</x:v>
      </x:c>
      <x:c r="Q56" s="16" t="str">
        <x:v>no</x:v>
      </x:c>
      <x:c r="R56" s="11" t="str"/>
      <x:c r="S56" s="11" t="str">
        <x:v>2026-08-12</x:v>
      </x:c>
      <x:c r="T56" s="18" t="str">
        <x:f>IF(OR(AND(N56="unresolved",LEN(O56)&gt;0,LEN(P56)&gt;0,Q56="yes"),AND(LEN(N56)&gt;0,LEN(O56)&gt;0,LEN(P56)&gt;0,OR(Q56="yes",Q56="no"))),"ready","pending")</x:f>
        <x:v>ready</x:v>
      </x:c>
    </x:row>
    <x:row r="57" ht="44" customHeight="1">
      <x:c r="A57" s="10" t="str">
        <x:v>C22__lifecycle</x:v>
      </x:c>
      <x:c r="B57" s="11" t="str">
        <x:v>C22</x:v>
      </x:c>
      <x:c r="C57" s="11" t="str">
        <x:v>released_67</x:v>
      </x:c>
      <x:c r="D57" s="11" t="str">
        <x:v>TransferFuzz-pro: LLM-driven code debugging for verifying propagated vulnerability</x:v>
      </x:c>
      <x:c r="E57" s="11" t="str">
        <x:v>lifecycle coverage</x:v>
      </x:c>
      <x:c r="F57" s="11" t="str">
        <x:v>multi-label</x:v>
      </x:c>
      <x:c r="G57" s="11" t="str">
        <x:v>execution observation;reproduction and validation</x:v>
      </x:c>
      <x:c r="H57" s="11" t="str">
        <x:v>candidate analysis;execution observation;path and input exploration;reporting and audit;reproduction and validation</x:v>
      </x:c>
      <x:c r="I57" s="11" t="str">
        <x:v>source-linked lead</x:v>
      </x:c>
      <x:c r="J57" s="11" t="str">
        <x:v>https://doi.org/10.1109/TSE.2025.3584774 | Paper pp. 1–3 (Abstract/motivation), pp. 4–9 (LLM debugging and PoC workflow), and pp. 9–14 (RQ1–RQ5 and CVE-to-binary tables). | excerpt pages 7, 5</x:v>
      </x:c>
      <x:c r="K57" s="11" t="str">
        <x:v>[p.7] 1) Nested Simulated Annealing: Unlike directed fuzzing, which focuses on a single target line of code, TransferFuzz- Pro utilizes function call sequences from histor ical traces to allocate more energy to seeds exploring vulnerability paths and less energy to those on unrelated paths. [p.5] By marking the source code line associated with the vulnerability, the fuzzer calculates the distance between the current test case and the target code, guiding seed mutations toward the vulnerability.</x:v>
      </x:c>
      <x:c r="L57" s="16" t="str">
        <x:v>A source-linked excerpt and locator are supplied as review leads; the cited source and locator should be retained for auditability.</x:v>
      </x:c>
      <x:c r="M57" s="16" t="str">
        <x:v>Mark only observable lifecycle actions or outputs. Reporting and audit requires explicit packaging, routing, disclosure, or audit transition; a report name alone is insufficient.</x:v>
      </x:c>
      <x:c r="N57" s="16" t="str">
        <x:v>execution observation;reproduction and validation</x:v>
      </x:c>
      <x:c r="O57" s="16" t="str">
        <x:v>The cited source supports the selected label execution observation;reproduction and validation; only observable workflow actions or outputs were retained.</x:v>
      </x:c>
      <x:c r="P57" s="16" t="str">
        <x:v>https://doi.org/10.1109/TSE.2025.3584774 | Paper pp. 1–3 (Abstract/motivation), pp. 4–9 (LLM debugging and PoC workflow), and pp. 9–14 (RQ1–RQ5 and CVE-to-binary tables). | excerpt pages 7, 5</x:v>
      </x:c>
      <x:c r="Q57" s="16" t="str">
        <x:v>no</x:v>
      </x:c>
      <x:c r="R57" s="11" t="str"/>
      <x:c r="S57" s="11" t="str">
        <x:v>2026-08-12</x:v>
      </x:c>
      <x:c r="T57" s="18" t="str">
        <x:f>IF(OR(AND(N57="unresolved",LEN(O57)&gt;0,LEN(P57)&gt;0,Q57="yes"),AND(LEN(N57)&gt;0,LEN(O57)&gt;0,LEN(P57)&gt;0,OR(Q57="yes",Q57="no"))),"ready","pending")</x:f>
        <x:v>ready</x:v>
      </x:c>
    </x:row>
    <x:row r="58" ht="44" customHeight="1">
      <x:c r="A58" s="10" t="str">
        <x:v>C22__capability</x:v>
      </x:c>
      <x:c r="B58" s="11" t="str">
        <x:v>C22</x:v>
      </x:c>
      <x:c r="C58" s="11" t="str">
        <x:v>released_67</x:v>
      </x:c>
      <x:c r="D58" s="11" t="str">
        <x:v>TransferFuzz-pro: LLM-driven code debugging for verifying propagated vulnerability</x:v>
      </x:c>
      <x:c r="E58" s="11" t="str">
        <x:v>cross-stage capability</x:v>
      </x:c>
      <x:c r="F58" s="11" t="str">
        <x:v>multi-label</x:v>
      </x:c>
      <x:c r="G58" s="11" t="str">
        <x:v>feedback interpretation / loop adjustment;validation organization / evidence packaging</x:v>
      </x:c>
      <x:c r="H58" s="11" t="str">
        <x:v>context aggregation / rule extraction;feedback interpretation / loop adjustment;tool routing / strategy routing;validation organization / evidence packaging</x:v>
      </x:c>
      <x:c r="I58" s="11" t="str">
        <x:v>source-linked lead</x:v>
      </x:c>
      <x:c r="J58" s="11" t="str">
        <x:v>https://doi.org/10.1109/TSE.2025.3584774 | Paper pp. 1–3 (Abstract/motivation), pp. 4–9 (LLM debugging and PoC workflow), and pp. 9–14 (RQ1–RQ5 and CVE-to-binary tables). | excerpt pages 5, 1</x:v>
      </x:c>
      <x:c r="K58" s="11" t="str">
        <x:v>[p.5] To achieve this, we use the state-of-the-art directed fuzzing tool SelectFuzz, which is designed for crash reproduction. [p.1] Traditional meth- ods focus primarily on detecting reused vulnerability code in target software but lack the ability to conﬁrm whether these vulnerabilities can be triggered in new software contexts.</x:v>
      </x:c>
      <x:c r="L58" s="16" t="str">
        <x:v>A source-linked excerpt and locator are supplied as review leads; the cited source and locator should be retained for auditability.</x:v>
      </x:c>
      <x:c r="M58" s="16" t="str">
        <x:v>Require an explicit cross-stage connection. Information must guide later action; feedback must alter later action; packaging must assemble prior outputs; governance must enforce an actual gate.</x:v>
      </x:c>
      <x:c r="N58" s="16" t="str">
        <x:v>feedback interpretation / loop adjustment;validation organization / evidence packaging</x:v>
      </x:c>
      <x:c r="O58" s="16" t="str">
        <x:v>The cited source supports the selected label feedback interpretation / loop adjustment;validation organization / evidence packaging; each retained label requires an explicit connection that guides later action, feedback, packaging, or a gate.</x:v>
      </x:c>
      <x:c r="P58" s="16" t="str">
        <x:v>https://doi.org/10.1109/TSE.2025.3584774 | Paper pp. 1–3 (Abstract/motivation), pp. 4–9 (LLM debugging and PoC workflow), and pp. 9–14 (RQ1–RQ5 and CVE-to-binary tables). | excerpt pages 5, 1</x:v>
      </x:c>
      <x:c r="Q58" s="16" t="str">
        <x:v>no</x:v>
      </x:c>
      <x:c r="R58" s="11" t="str"/>
      <x:c r="S58" s="11" t="str">
        <x:v>2026-08-12</x:v>
      </x:c>
      <x:c r="T58" s="18" t="str">
        <x:f>IF(OR(AND(N58="unresolved",LEN(O58)&gt;0,LEN(P58)&gt;0,Q58="yes"),AND(LEN(N58)&gt;0,LEN(O58)&gt;0,LEN(P58)&gt;0,OR(Q58="yes",Q58="no"))),"ready","pending")</x:f>
        <x:v>ready</x:v>
      </x:c>
    </x:row>
    <x:row r="59" ht="44" customHeight="1">
      <x:c r="A59" s="10" t="str">
        <x:v>C22__external_traceability</x:v>
      </x:c>
      <x:c r="B59" s="11" t="str">
        <x:v>C22</x:v>
      </x:c>
      <x:c r="C59" s="11" t="str">
        <x:v>released_67</x:v>
      </x:c>
      <x:c r="D59" s="11" t="str">
        <x:v>TransferFuzz-pro: LLM-driven code debugging for verifying propagated vulnerability</x:v>
      </x:c>
      <x:c r="E59" s="11" t="str">
        <x:v>external traceability</x:v>
      </x:c>
      <x:c r="F59" s="11" t="str">
        <x:v>single-label</x:v>
      </x:c>
      <x:c r="G59" s="11" t="str">
        <x:v>no external trace reported</x:v>
      </x:c>
      <x:c r="H59" s="11" t="str">
        <x:v>benchmark ground truth / public material</x:v>
      </x:c>
      <x:c r="I59" s="11" t="str">
        <x:v>source-linked lead</x:v>
      </x:c>
      <x:c r="J59" s="11" t="str">
        <x:v>https://doi.org/10.1109/TSE.2025.3584774 | Paper pp. 1–3 (Abstract/motivation), pp. 4–9 (LLM debugging and PoC workflow), and pp. 9–14 (RQ1–RQ5 and CVE-to-binary tables). | excerpt pages 1, 10</x:v>
      </x:c>
      <x:c r="K59" s="11" t="str">
        <x:v>[p.1] Although researchers disclose vulnerabilities to platforms like CVE [6] and NVD [7], the full scope of affected software is often inadequately assessed. [p.10] LI et al.: TRANSFERFUZZ-PRO: LARGE LANGUAGE MODEL DRIVEN CODE DEBUGGING TECHNOLOGY 2405 TABLE II DATASET SCALE Vul Source Type CrashFunc Code Reuse Propogated Propogated Binaries CVE-2016-10095 tiffsplit CWE-119 _TIFFVGetField 24 2 thumbnail, tiffcmp CVE-2016-5318 thumbnail CWE-119 _TIFFVGetField 24 2 tiffsplit, tiffcmp CVE-2016-4487 cxxﬁlt CWE-416 register_B type 11 3 objdump, nm-new, addr2line CVE-2016-4489 cxxﬁlt CWE-190 string_appe ndn 11 3 objdump, nm-new, addr2line CVE-2016-4490 cxxﬁlt CWE-190 d_unqualiﬁed_name 11 3 objdump, nm-new, addr2line CVE-2016-4491 cxxﬁlt CWE-119 d_print_com p_inner 11 3 objdump, nm-new, addr2line CVE-2016-4492 cxxﬁlt CWE-119 do_type 11 3 objdump, nm-new, addr2</x:v>
      </x:c>
      <x:c r="L59" s="16" t="str">
        <x:v>A source-linked excerpt and locator are supplied as review leads; the cited source and locator should be retained for auditability.</x:v>
      </x:c>
      <x:c r="M59" s="16" t="str">
        <x:v>Code separately from principal output. Only item-level alignment between a concrete system result and a specific public external record qualifies as publicly aligned external trace.</x:v>
      </x:c>
      <x:c r="N59" s="16" t="str">
        <x:v>no external trace reported</x:v>
      </x:c>
      <x:c r="O59" s="16" t="str">
        <x:v>The cited source supports the selected label no external trace reported under the codebook's item-level public-record alignment criterion.</x:v>
      </x:c>
      <x:c r="P59" s="16" t="str">
        <x:v>https://doi.org/10.1109/TSE.2025.3584774 | Paper pp. 1–3 (Abstract/motivation), pp. 4–9 (LLM debugging and PoC workflow), and pp. 9–14 (RQ1–RQ5 and CVE-to-binary tables). | excerpt pages 1, 10</x:v>
      </x:c>
      <x:c r="Q59" s="16" t="str">
        <x:v>no</x:v>
      </x:c>
      <x:c r="R59" s="11" t="str"/>
      <x:c r="S59" s="11" t="str">
        <x:v>2026-08-12</x:v>
      </x:c>
      <x:c r="T59" s="18" t="str">
        <x:f>IF(OR(AND(N59="unresolved",LEN(O59)&gt;0,LEN(P59)&gt;0,Q59="yes"),AND(LEN(N59)&gt;0,LEN(O59)&gt;0,LEN(P59)&gt;0,OR(Q59="yes",Q59="no"))),"ready","pending")</x:f>
        <x:v>ready</x:v>
      </x:c>
    </x:row>
    <x:row r="60" ht="44" customHeight="1">
      <x:c r="A60" s="10" t="str">
        <x:v>C23__lifecycle</x:v>
      </x:c>
      <x:c r="B60" s="11" t="str">
        <x:v>C23</x:v>
      </x:c>
      <x:c r="C60" s="11" t="str">
        <x:v>released_67</x:v>
      </x:c>
      <x:c r="D60" s="11" t="str">
        <x:v>Cybench: A Framework for Evaluating Cybersecurity Capabilities and Risks of Language Models</x:v>
      </x:c>
      <x:c r="E60" s="11" t="str">
        <x:v>lifecycle coverage</x:v>
      </x:c>
      <x:c r="F60" s="11" t="str">
        <x:v>multi-label</x:v>
      </x:c>
      <x:c r="G60" s="11" t="str">
        <x:v>execution observation;path and input exploration</x:v>
      </x:c>
      <x:c r="H60" s="11" t="str">
        <x:v>candidate analysis;execution observation;path and input exploration;reporting and audit;reproduction and validation</x:v>
      </x:c>
      <x:c r="I60" s="11" t="str">
        <x:v>source-linked lead</x:v>
      </x:c>
      <x:c r="J60" s="11" t="str">
        <x:v>https://proceedings.iclr.cc/paper_files/paper/2025/hash/3e9412a9c1d93810ef3ef7825115016b-Abstract-Conference.html | Paper pp. 1–7 (Abstract, task framework and agent), pp. 7–11 (evaluation and reproducibility discussion), and task appendices (representative solution traces/scripts). | excerpt pages 2, 6</x:v>
      </x:c>
      <x:c r="K60" s="11" t="str">
        <x:v>[p.2] There are existing and concurrent works that benchmark these capabilities, including on Capture The Flag (CTF) challenges (Yang et al., 2023b; Shao et al., 2024b), vulnerability detection and exploitation on code snippets (Bhatt et al., 2024), and general cybersecurity knowledge through question answering (Tihanyi et al., 2024). [p.6] We focused on tasks that serve as effective proxies for real hacking skills, from simple input validation issues to complex return-oriented programming, including those that involve identifying and exploiting actual common vulnerabilities and exposures (CVEs).</x:v>
      </x:c>
      <x:c r="L60" s="16" t="str">
        <x:v>A source-linked excerpt and locator are supplied as review leads; the cited source and locator should be retained for auditability.</x:v>
      </x:c>
      <x:c r="M60" s="16" t="str">
        <x:v>Mark only observable lifecycle actions or outputs. Reporting and audit requires explicit packaging, routing, disclosure, or audit transition; a report name alone is insufficient.</x:v>
      </x:c>
      <x:c r="N60" s="16" t="str">
        <x:v>path and input exploration;execution observation</x:v>
      </x:c>
      <x:c r="O60" s="16" t="str">
        <x:v>The cited source supports the selected label path and input exploration;execution observation; only observable workflow actions or outputs were retained.</x:v>
      </x:c>
      <x:c r="P60" s="16" t="str">
        <x:v>https://proceedings.iclr.cc/paper_files/paper/2025/hash/3e9412a9c1d93810ef3ef7825115016b-Abstract-Conference.html | Paper pp. 1–7 (Abstract, task framework and agent), pp. 7–11 (evaluation and reproducibility discussion), and task appendices (representative solution traces/scripts). | excerpt pages 2, 6</x:v>
      </x:c>
      <x:c r="Q60" s="16" t="str">
        <x:v>no</x:v>
      </x:c>
      <x:c r="R60" s="11" t="str"/>
      <x:c r="S60" s="11" t="str">
        <x:v>2026-08-12</x:v>
      </x:c>
      <x:c r="T60" s="18" t="str">
        <x:f>IF(OR(AND(N60="unresolved",LEN(O60)&gt;0,LEN(P60)&gt;0,Q60="yes"),AND(LEN(N60)&gt;0,LEN(O60)&gt;0,LEN(P60)&gt;0,OR(Q60="yes",Q60="no"))),"ready","pending")</x:f>
        <x:v>ready</x:v>
      </x:c>
    </x:row>
    <x:row r="61" ht="44" customHeight="1">
      <x:c r="A61" s="10" t="str">
        <x:v>C23__capability</x:v>
      </x:c>
      <x:c r="B61" s="11" t="str">
        <x:v>C23</x:v>
      </x:c>
      <x:c r="C61" s="11" t="str">
        <x:v>released_67</x:v>
      </x:c>
      <x:c r="D61" s="11" t="str">
        <x:v>Cybench: A Framework for Evaluating Cybersecurity Capabilities and Risks of Language Models</x:v>
      </x:c>
      <x:c r="E61" s="11" t="str">
        <x:v>cross-stage capability</x:v>
      </x:c>
      <x:c r="F61" s="11" t="str">
        <x:v>multi-label</x:v>
      </x:c>
      <x:c r="G61" s="11" t="str">
        <x:v>feedback interpretation / loop adjustment;long-horizon state management;tool routing / strategy routing</x:v>
      </x:c>
      <x:c r="H61" s="11" t="str">
        <x:v>context aggregation / rule extraction;feedback interpretation / loop adjustment;long-horizon state management;tool routing / strategy routing</x:v>
      </x:c>
      <x:c r="I61" s="11" t="str">
        <x:v>source-linked lead</x:v>
      </x:c>
      <x:c r="J61" s="11" t="str">
        <x:v>https://proceedings.iclr.cc/paper_files/paper/2025/hash/3e9412a9c1d93810ef3ef7825115016b-Abstract-Conference.html | Paper pp. 1–7 (Abstract, task framework and agent), pp. 7–11 (evaluation and reproducibility discussion), and task appendices (representative solution traces/scripts). | excerpt pages 2</x:v>
      </x:c>
      <x:c r="K61" s="11" t="str">
        <x:v>[p.2] CTF challenges are a broad class of cybersecurity tasks where the objective is to identify one or more vulnerabilities and execute one or more exploits to retrieve a secret string known as a flag (example in Subsection 2.2). [p.2] For a task that requires an agent to “retrieve the secret”, we can break down the steps into subtasks of “identify the leaked credentials”, “identify the insecure code”, “craft an exploit”, and finally “retrieve the secret” (Figure 1).</x:v>
      </x:c>
      <x:c r="L61" s="16" t="str">
        <x:v>A source-linked excerpt and locator are supplied as review leads; the cited source and locator should be retained for auditability.</x:v>
      </x:c>
      <x:c r="M61" s="16" t="str">
        <x:v>Require an explicit cross-stage connection. Information must guide later action; feedback must alter later action; packaging must assemble prior outputs; governance must enforce an actual gate.</x:v>
      </x:c>
      <x:c r="N61" s="16" t="str">
        <x:v>tool routing / strategy routing;feedback interpretation / loop adjustment;long-horizon state management</x:v>
      </x:c>
      <x:c r="O61" s="16" t="str">
        <x:v>The cited source supports the selected label tool routing / strategy routing;feedback interpretation / loop adjustment;long-horizon state management; each retained label requires an explicit connection that guides later action, feedback, packaging, or a gate.</x:v>
      </x:c>
      <x:c r="P61" s="16" t="str">
        <x:v>https://proceedings.iclr.cc/paper_files/paper/2025/hash/3e9412a9c1d93810ef3ef7825115016b-Abstract-Conference.html | Paper pp. 1–7 (Abstract, task framework and agent), pp. 7–11 (evaluation and reproducibility discussion), and task appendices (representative solution traces/scripts). | excerpt pages 2</x:v>
      </x:c>
      <x:c r="Q61" s="16" t="str">
        <x:v>no</x:v>
      </x:c>
      <x:c r="R61" s="11" t="str"/>
      <x:c r="S61" s="11" t="str">
        <x:v>2026-08-12</x:v>
      </x:c>
      <x:c r="T61" s="18" t="str">
        <x:f>IF(OR(AND(N61="unresolved",LEN(O61)&gt;0,LEN(P61)&gt;0,Q61="yes"),AND(LEN(N61)&gt;0,LEN(O61)&gt;0,LEN(P61)&gt;0,OR(Q61="yes",Q61="no"))),"ready","pending")</x:f>
        <x:v>ready</x:v>
      </x:c>
    </x:row>
    <x:row r="62" ht="44" customHeight="1">
      <x:c r="A62" s="10" t="str">
        <x:v>C23__external_traceability</x:v>
      </x:c>
      <x:c r="B62" s="11" t="str">
        <x:v>C23</x:v>
      </x:c>
      <x:c r="C62" s="11" t="str">
        <x:v>released_67</x:v>
      </x:c>
      <x:c r="D62" s="11" t="str">
        <x:v>Cybench: A Framework for Evaluating Cybersecurity Capabilities and Risks of Language Models</x:v>
      </x:c>
      <x:c r="E62" s="11" t="str">
        <x:v>external traceability</x:v>
      </x:c>
      <x:c r="F62" s="11" t="str">
        <x:v>single-label</x:v>
      </x:c>
      <x:c r="G62" s="11" t="str">
        <x:v>no external trace reported</x:v>
      </x:c>
      <x:c r="H62" s="11" t="str">
        <x:v>benchmark ground truth / public material</x:v>
      </x:c>
      <x:c r="I62" s="11" t="str">
        <x:v>source-linked lead</x:v>
      </x:c>
      <x:c r="J62" s="11" t="str">
        <x:v>https://proceedings.iclr.cc/paper_files/paper/2025/hash/3e9412a9c1d93810ef3ef7825115016b-Abstract-Conference.html | Paper pp. 1–7 (Abstract, task framework and agent), pp. 7–11 (evaluation and reproducibility discussion), and task appendices (representative solution traces/scripts). | excerpt pages 10, 1</x:v>
      </x:c>
      <x:c r="K62" s="11" t="str">
        <x:v>[p.10] In addition to CTF datasets, there have been significant other efforts to develop LM benchmarks for cybersecurity. [p.1] 1All code and data are publicly available athttps://cybench.github.io.</x:v>
      </x:c>
      <x:c r="L62" s="16" t="str">
        <x:v>A source-linked excerpt and locator are supplied as review leads; the cited source and locator should be retained for auditability.</x:v>
      </x:c>
      <x:c r="M62" s="16" t="str">
        <x:v>Code separately from principal output. Only item-level alignment between a concrete system result and a specific public external record qualifies as publicly aligned external trace.</x:v>
      </x:c>
      <x:c r="N62" s="16" t="str">
        <x:v>no external trace reported</x:v>
      </x:c>
      <x:c r="O62" s="16" t="str">
        <x:v>The cited source supports the selected label no external trace reported under the codebook's item-level public-record alignment criterion.</x:v>
      </x:c>
      <x:c r="P62" s="16" t="str">
        <x:v>https://proceedings.iclr.cc/paper_files/paper/2025/hash/3e9412a9c1d93810ef3ef7825115016b-Abstract-Conference.html | Paper pp. 1–7 (Abstract, task framework and agent), pp. 7–11 (evaluation and reproducibility discussion), and task appendices (representative solution traces/scripts). | excerpt pages 10, 1</x:v>
      </x:c>
      <x:c r="Q62" s="16" t="str">
        <x:v>no</x:v>
      </x:c>
      <x:c r="R62" s="11" t="str"/>
      <x:c r="S62" s="11" t="str">
        <x:v>2026-08-12</x:v>
      </x:c>
      <x:c r="T62" s="18" t="str">
        <x:f>IF(OR(AND(N62="unresolved",LEN(O62)&gt;0,LEN(P62)&gt;0,Q62="yes"),AND(LEN(N62)&gt;0,LEN(O62)&gt;0,LEN(P62)&gt;0,OR(Q62="yes",Q62="no"))),"ready","pending")</x:f>
        <x:v>ready</x:v>
      </x:c>
    </x:row>
    <x:row r="63" ht="44" customHeight="1">
      <x:c r="A63" s="10" t="str">
        <x:v>C24__lifecycle</x:v>
      </x:c>
      <x:c r="B63" s="11" t="str">
        <x:v>C24</x:v>
      </x:c>
      <x:c r="C63" s="11" t="str">
        <x:v>released_67</x:v>
      </x:c>
      <x:c r="D63" s="11" t="str">
        <x:v>BountyBench: Dollar Impact of AI Agent Attackers and Defenders on Real-World Cybersecurity Systems</x:v>
      </x:c>
      <x:c r="E63" s="11" t="str">
        <x:v>lifecycle coverage</x:v>
      </x:c>
      <x:c r="F63" s="11" t="str">
        <x:v>multi-label</x:v>
      </x:c>
      <x:c r="G63" s="11" t="str">
        <x:v>candidate analysis;execution observation;patch validation;reproduction and validation</x:v>
      </x:c>
      <x:c r="H63" s="11" t="str">
        <x:v>candidate analysis;execution observation;patch validation;path and input exploration;reporting and audit;reproduction and validation</x:v>
      </x:c>
      <x:c r="I63" s="11" t="str">
        <x:v>source-linked lead</x:v>
      </x:c>
      <x:c r="J63" s="11" t="str">
        <x:v>https://bountybench.github.io/ | Paper pp. 1–3 (Abstract/framework), pp. 3–7 (Detect/Exploit/Patch evaluators), pp. 7–10 (agent evaluation), and public benchmark/run-log description. | excerpt pages 7, 1</x:v>
      </x:c>
      <x:c r="K63" s="11" t="str">
        <x:v>[p.7] We then explored how offensive capabilities scaled with increasing information: (1) No Info, which is the standardDetect task, (2) the common weakness enumeration (CWE), which lists the weakness associated with the vulnerability, e.g., “CWE-639: Authorization Bypass Through User-Controlled Key”, (3) the CWE plus the title from the bug bounty report, e.g., “idor bug to delete any org project in lunary-ai/lunary”, and (4) the entire report, which is theExploittask. [p.1] We manually set up the environment for each system, including installing packages, setting up server(s), and hydrating database(s).</x:v>
      </x:c>
      <x:c r="L63" s="16" t="str">
        <x:v>A source-linked excerpt and locator are supplied as review leads; the cited source and locator should be retained for auditability.</x:v>
      </x:c>
      <x:c r="M63" s="16" t="str">
        <x:v>Mark only observable lifecycle actions or outputs. Reporting and audit requires explicit packaging, routing, disclosure, or audit transition; a report name alone is insufficient.</x:v>
      </x:c>
      <x:c r="N63" s="16" t="str">
        <x:v>candidate analysis;execution observation;reproduction and validation;patch validation</x:v>
      </x:c>
      <x:c r="O63" s="16" t="str">
        <x:v>The cited source supports the selected label candidate analysis;execution observation;reproduction and validation;patch validation; only observable workflow actions or outputs were retained.</x:v>
      </x:c>
      <x:c r="P63" s="16" t="str">
        <x:v>https://bountybench.github.io/ | Paper pp. 1–3 (Abstract/framework), pp. 3–7 (Detect/Exploit/Patch evaluators), pp. 7–10 (agent evaluation), and public benchmark/run-log description. | excerpt pages 7, 1</x:v>
      </x:c>
      <x:c r="Q63" s="16" t="str">
        <x:v>no</x:v>
      </x:c>
      <x:c r="R63" s="11" t="str"/>
      <x:c r="S63" s="11" t="str">
        <x:v>2026-08-12</x:v>
      </x:c>
      <x:c r="T63" s="18" t="str">
        <x:f>IF(OR(AND(N63="unresolved",LEN(O63)&gt;0,LEN(P63)&gt;0,Q63="yes"),AND(LEN(N63)&gt;0,LEN(O63)&gt;0,LEN(P63)&gt;0,OR(Q63="yes",Q63="no"))),"ready","pending")</x:f>
        <x:v>ready</x:v>
      </x:c>
    </x:row>
    <x:row r="64" ht="44" customHeight="1">
      <x:c r="A64" s="10" t="str">
        <x:v>C24__capability</x:v>
      </x:c>
      <x:c r="B64" s="11" t="str">
        <x:v>C24</x:v>
      </x:c>
      <x:c r="C64" s="11" t="str">
        <x:v>released_67</x:v>
      </x:c>
      <x:c r="D64" s="11" t="str">
        <x:v>BountyBench: Dollar Impact of AI Agent Attackers and Defenders on Real-World Cybersecurity Systems</x:v>
      </x:c>
      <x:c r="E64" s="11" t="str">
        <x:v>cross-stage capability</x:v>
      </x:c>
      <x:c r="F64" s="11" t="str">
        <x:v>multi-label</x:v>
      </x:c>
      <x:c r="G64" s="11" t="str">
        <x:v>feedback interpretation / loop adjustment;long-horizon state management;tool routing / strategy routing;validation organization / evidence packaging</x:v>
      </x:c>
      <x:c r="H64" s="11" t="str">
        <x:v>long-horizon state management;validation organization / evidence packaging</x:v>
      </x:c>
      <x:c r="I64" s="11" t="str">
        <x:v>source-linked lead</x:v>
      </x:c>
      <x:c r="J64" s="11" t="str">
        <x:v>https://bountybench.github.io/ | Paper pp. 1–3 (Abstract/framework), pp. 3–7 (Detect/Exploit/Patch evaluators), pp. 7–10 (agent evaluation), and public benchmark/run-log description. | excerpt pages 7, 1</x:v>
      </x:c>
      <x:c r="K64" s="11" t="str">
        <x:v>[p.7] We created the C-Agents based on the Cybench agent, where the agent takes an action based on its memory, executes the action, and updates its memory based on the observation from the execution, and continues in a loop until finalizing its submission [38]. [p.1] To modulate task difficulty, we devise a new strategy based on information to guide detection, interpolating from identifying a zero day to ex- ploiting a specific vulnerability.</x:v>
      </x:c>
      <x:c r="L64" s="16" t="str">
        <x:v>A source-linked excerpt and locator are supplied as review leads; the cited source and locator should be retained for auditability.</x:v>
      </x:c>
      <x:c r="M64" s="16" t="str">
        <x:v>Require an explicit cross-stage connection. Information must guide later action; feedback must alter later action; packaging must assemble prior outputs; governance must enforce an actual gate.</x:v>
      </x:c>
      <x:c r="N64" s="16" t="str">
        <x:v>tool routing / strategy routing;feedback interpretation / loop adjustment;validation organization / evidence packaging;long-horizon state management</x:v>
      </x:c>
      <x:c r="O64" s="16" t="str">
        <x:v>The cited source supports the selected label tool routing / strategy routing;feedback interpretation / loop adjustment;validation organization / evidence packaging;long-horizon state management; each retained label requires an explicit connection that guides later action, feedback, packaging, or a gate.</x:v>
      </x:c>
      <x:c r="P64" s="16" t="str">
        <x:v>https://bountybench.github.io/ | Paper pp. 1–3 (Abstract/framework), pp. 3–7 (Detect/Exploit/Patch evaluators), pp. 7–10 (agent evaluation), and public benchmark/run-log description. | excerpt pages 7, 1</x:v>
      </x:c>
      <x:c r="Q64" s="16" t="str">
        <x:v>no</x:v>
      </x:c>
      <x:c r="R64" s="11" t="str"/>
      <x:c r="S64" s="11" t="str">
        <x:v>2026-08-12</x:v>
      </x:c>
      <x:c r="T64" s="18" t="str">
        <x:f>IF(OR(AND(N64="unresolved",LEN(O64)&gt;0,LEN(P64)&gt;0,Q64="yes"),AND(LEN(N64)&gt;0,LEN(O64)&gt;0,LEN(P64)&gt;0,OR(Q64="yes",Q64="no"))),"ready","pending")</x:f>
        <x:v>ready</x:v>
      </x:c>
    </x:row>
    <x:row r="65" ht="44" customHeight="1">
      <x:c r="A65" s="10" t="str">
        <x:v>C24__principal_evidence</x:v>
      </x:c>
      <x:c r="B65" s="11" t="str">
        <x:v>C24</x:v>
      </x:c>
      <x:c r="C65" s="11" t="str">
        <x:v>released_67</x:v>
      </x:c>
      <x:c r="D65" s="11" t="str">
        <x:v>BountyBench: Dollar Impact of AI Agent Attackers and Defenders on Real-World Cybersecurity Systems</x:v>
      </x:c>
      <x:c r="E65" s="11" t="str">
        <x:v>principal reported evidence output</x:v>
      </x:c>
      <x:c r="F65" s="11" t="str">
        <x:v>single-label</x:v>
      </x:c>
      <x:c r="G65" s="11" t="str">
        <x:v>controlled task completion</x:v>
      </x:c>
      <x:c r="H65" s="11" t="str">
        <x:v>reproducible validation</x:v>
      </x:c>
      <x:c r="I65" s="11" t="str">
        <x:v>source-linked lead</x:v>
      </x:c>
      <x:c r="J65" s="11" t="str">
        <x:v>https://bountybench.github.io/ | Paper pp. 1–3 (Abstract/framework), pp. 3–7 (Detect/Exploit/Patch evaluators), pp. 7–10 (agent evaluation), and public benchmark/run-log description. | excerpt pages 2</x:v>
      </x:c>
      <x:c r="K65" s="11" t="str">
        <x:v>[p.2] Even with CTF benchmarks, there have been issues with tasks being broken and unsolvable, and infrastructure introducing new vulnerabilities [23]. [p.2] Capture the Flag (CTF) benchmarks have seen significant adoption [31, 36, 38]; for instance, Cybench [38] has seen adoption as the only open-source cybersecurity benchmark leveraged for UK/US AISI Pre-Deployment Evaluation [33], Claude 3.7 Sonnet System Card [3], among others.</x:v>
      </x:c>
      <x:c r="L65" s="16" t="str">
        <x:v>A source-linked excerpt and locator are supplied as review leads; the cited source and locator should be retained for auditability.</x:v>
      </x:c>
      <x:c r="M65" s="16" t="str">
        <x:v>Select the observable result most directly supporting the main finding. Benchmark ground truth or aggregate CVE counts do not automatically establish externally traceable material.</x:v>
      </x:c>
      <x:c r="N65" s="16" t="str">
        <x:v>controlled task completion</x:v>
      </x:c>
      <x:c r="O65" s="16" t="str">
        <x:v>The cited source supports the selected label controlled task completion as the main observable result reported for the study.</x:v>
      </x:c>
      <x:c r="P65" s="16" t="str">
        <x:v>https://bountybench.github.io/ | Paper pp. 1–3 (Abstract/framework), pp. 3–7 (Detect/Exploit/Patch evaluators), pp. 7–10 (agent evaluation), and public benchmark/run-log description. | excerpt pages 2</x:v>
      </x:c>
      <x:c r="Q65" s="16" t="str">
        <x:v>no</x:v>
      </x:c>
      <x:c r="R65" s="11" t="str"/>
      <x:c r="S65" s="11" t="str">
        <x:v>2026-08-12</x:v>
      </x:c>
      <x:c r="T65" s="18" t="str">
        <x:f>IF(OR(AND(N65="unresolved",LEN(O65)&gt;0,LEN(P65)&gt;0,Q65="yes"),AND(LEN(N65)&gt;0,LEN(O65)&gt;0,LEN(P65)&gt;0,OR(Q65="yes",Q65="no"))),"ready","pending")</x:f>
        <x:v>ready</x:v>
      </x:c>
    </x:row>
    <x:row r="66" ht="44" customHeight="1">
      <x:c r="A66" s="10" t="str">
        <x:v>C25__lifecycle</x:v>
      </x:c>
      <x:c r="B66" s="11" t="str">
        <x:v>C25</x:v>
      </x:c>
      <x:c r="C66" s="11" t="str">
        <x:v>released_67</x:v>
      </x:c>
      <x:c r="D66" s="11" t="str">
        <x:v>SEC-bench: Automated Benchmarking of LLM Agents on Real-World Software Security Tasks</x:v>
      </x:c>
      <x:c r="E66" s="11" t="str">
        <x:v>lifecycle coverage</x:v>
      </x:c>
      <x:c r="F66" s="11" t="str">
        <x:v>multi-label</x:v>
      </x:c>
      <x:c r="G66" s="11" t="str">
        <x:v>patch validation;reproduction and validation</x:v>
      </x:c>
      <x:c r="H66" s="11" t="str">
        <x:v>candidate analysis;execution observation;patch validation;path and input exploration;reporting and audit;reproduction and validation</x:v>
      </x:c>
      <x:c r="I66" s="11" t="str">
        <x:v>source-linked lead</x:v>
      </x:c>
      <x:c r="J66" s="11" t="str">
        <x:v>https://arxiv.org/abs/2506.11791 | Paper pp. 1–3 (Abstract and benchmark construction), pp. 3–6 (SECVerifier and task criteria), pp. 7–10 (agent evaluation), and released code/dataset URLs on p. 1. | excerpt pages 5, 3</x:v>
      </x:c>
      <x:c r="K66" s="11" t="str">
        <x:v>[p.5] Evaluation uses execution-based metrics where a successful solution must produce a PoC that, when executed, triggers the sanitizer to report the correct vulnerability type at expected locations. [p.3] We establish sanitizer verdicts as our oracle—accepting PoC only when they trigger expected reports and validating patches when these reports disappear.</x:v>
      </x:c>
      <x:c r="L66" s="16" t="str">
        <x:v>A source-linked excerpt and locator are supplied as review leads; the cited source and locator should be retained for auditability.</x:v>
      </x:c>
      <x:c r="M66" s="16" t="str">
        <x:v>Mark only observable lifecycle actions or outputs. Reporting and audit requires explicit packaging, routing, disclosure, or audit transition; a report name alone is insufficient.</x:v>
      </x:c>
      <x:c r="N66" s="16" t="str">
        <x:v>reproduction and validation;patch validation</x:v>
      </x:c>
      <x:c r="O66" s="16" t="str">
        <x:v>The cited source supports the selected label reproduction and validation;patch validation; only observable workflow actions or outputs were retained.</x:v>
      </x:c>
      <x:c r="P66" s="16" t="str">
        <x:v>https://arxiv.org/abs/2506.11791 | Paper pp. 1–3 (Abstract and benchmark construction), pp. 3–6 (SECVerifier and task criteria), pp. 7–10 (agent evaluation), and released code/dataset URLs on p. 1. | excerpt pages 5, 3</x:v>
      </x:c>
      <x:c r="Q66" s="16" t="str">
        <x:v>no</x:v>
      </x:c>
      <x:c r="R66" s="11" t="str"/>
      <x:c r="S66" s="11" t="str">
        <x:v>2026-08-12</x:v>
      </x:c>
      <x:c r="T66" s="18" t="str">
        <x:f>IF(OR(AND(N66="unresolved",LEN(O66)&gt;0,LEN(P66)&gt;0,Q66="yes"),AND(LEN(N66)&gt;0,LEN(O66)&gt;0,LEN(P66)&gt;0,OR(Q66="yes",Q66="no"))),"ready","pending")</x:f>
        <x:v>ready</x:v>
      </x:c>
    </x:row>
    <x:row r="67" ht="44" customHeight="1">
      <x:c r="A67" s="10" t="str">
        <x:v>C25__capability</x:v>
      </x:c>
      <x:c r="B67" s="11" t="str">
        <x:v>C25</x:v>
      </x:c>
      <x:c r="C67" s="11" t="str">
        <x:v>released_67</x:v>
      </x:c>
      <x:c r="D67" s="11" t="str">
        <x:v>SEC-bench: Automated Benchmarking of LLM Agents on Real-World Software Security Tasks</x:v>
      </x:c>
      <x:c r="E67" s="11" t="str">
        <x:v>cross-stage capability</x:v>
      </x:c>
      <x:c r="F67" s="11" t="str">
        <x:v>multi-label</x:v>
      </x:c>
      <x:c r="G67" s="11" t="str">
        <x:v>feedback interpretation / loop adjustment;long-horizon state management;tool routing / strategy routing;validation organization / evidence packaging</x:v>
      </x:c>
      <x:c r="H67" s="11" t="str">
        <x:v>context aggregation / rule extraction;feedback interpretation / loop adjustment;long-horizon state management;tool routing / strategy routing;validation organization / evidence packaging</x:v>
      </x:c>
      <x:c r="I67" s="11" t="str">
        <x:v>source-linked lead</x:v>
      </x:c>
      <x:c r="J67" s="11" t="str">
        <x:v>https://arxiv.org/abs/2506.11791 | Paper pp. 1–3 (Abstract and benchmark construction), pp. 3–6 (SECVerifier and task criteria), pp. 7–10 (agent evaluation), and released code/dataset URLs on p. 1. | excerpt pages 2, 5</x:v>
      </x:c>
      <x:c r="K67" s="11" t="str">
        <x:v>[p.2] Our architecture integrates three specialized modules working in concert: The Preprocessor systematically selects in-the-wild vulnerability datasets and retrieves heteroge- neous bug reports across different platforms, establishing consistent interactive environments for verification. [p.5] To prevent this issue, we inspect all bug reports and remove directly provided patches while preserving essential context.</x:v>
      </x:c>
      <x:c r="L67" s="16" t="str">
        <x:v>A source-linked excerpt and locator are supplied as review leads; the cited source and locator should be retained for auditability.</x:v>
      </x:c>
      <x:c r="M67" s="16" t="str">
        <x:v>Require an explicit cross-stage connection. Information must guide later action; feedback must alter later action; packaging must assemble prior outputs; governance must enforce an actual gate.</x:v>
      </x:c>
      <x:c r="N67" s="16" t="str">
        <x:v>tool routing / strategy routing;feedback interpretation / loop adjustment;validation organization / evidence packaging;long-horizon state management</x:v>
      </x:c>
      <x:c r="O67" s="16" t="str">
        <x:v>The cited source supports the selected label tool routing / strategy routing;feedback interpretation / loop adjustment;validation organization / evidence packaging;long-horizon state management; each retained label requires an explicit connection that guides later action, feedback, packaging, or a gate.</x:v>
      </x:c>
      <x:c r="P67" s="16" t="str">
        <x:v>https://arxiv.org/abs/2506.11791 | Paper pp. 1–3 (Abstract and benchmark construction), pp. 3–6 (SECVerifier and task criteria), pp. 7–10 (agent evaluation), and released code/dataset URLs on p. 1. | excerpt pages 2, 5</x:v>
      </x:c>
      <x:c r="Q67" s="16" t="str">
        <x:v>no</x:v>
      </x:c>
      <x:c r="R67" s="11" t="str"/>
      <x:c r="S67" s="11" t="str">
        <x:v>2026-08-12</x:v>
      </x:c>
      <x:c r="T67" s="18" t="str">
        <x:f>IF(OR(AND(N67="unresolved",LEN(O67)&gt;0,LEN(P67)&gt;0,Q67="yes"),AND(LEN(N67)&gt;0,LEN(O67)&gt;0,LEN(P67)&gt;0,OR(Q67="yes",Q67="no"))),"ready","pending")</x:f>
        <x:v>ready</x:v>
      </x:c>
    </x:row>
    <x:row r="68" ht="44" customHeight="1">
      <x:c r="A68" s="10" t="str">
        <x:v>C25__external_traceability</x:v>
      </x:c>
      <x:c r="B68" s="11" t="str">
        <x:v>C25</x:v>
      </x:c>
      <x:c r="C68" s="11" t="str">
        <x:v>released_67</x:v>
      </x:c>
      <x:c r="D68" s="11" t="str">
        <x:v>SEC-bench: Automated Benchmarking of LLM Agents on Real-World Software Security Tasks</x:v>
      </x:c>
      <x:c r="E68" s="11" t="str">
        <x:v>external traceability</x:v>
      </x:c>
      <x:c r="F68" s="11" t="str">
        <x:v>single-label</x:v>
      </x:c>
      <x:c r="G68" s="11" t="str">
        <x:v>no external trace reported</x:v>
      </x:c>
      <x:c r="H68" s="11" t="str">
        <x:v>benchmark ground truth / public material</x:v>
      </x:c>
      <x:c r="I68" s="11" t="str">
        <x:v>source-linked lead</x:v>
      </x:c>
      <x:c r="J68" s="11" t="str">
        <x:v>https://arxiv.org/abs/2506.11791 | Paper pp. 1–3 (Abstract and benchmark construction), pp. 3–6 (SECVerifier and task criteria), pp. 7–10 (agent evaluation), and released code/dataset URLs on p. 1. | excerpt pages 2</x:v>
      </x:c>
      <x:c r="K68" s="11" t="str">
        <x:v>[p.2] To construct this benchmark, we extract seed instances and corresponding PoC artifacts from public CVE databases [59, 40] with bug reports. [p.2] We aim to propose a framework to automatically collect and verify real-world CVE instances with reproducible PoC artifacts and validated security patches, creating a benchmark to evaluate LLM agents on authentic security tasks.</x:v>
      </x:c>
      <x:c r="L68" s="16" t="str">
        <x:v>A source-linked excerpt and locator are supplied as review leads; the cited source and locator should be retained for auditability.</x:v>
      </x:c>
      <x:c r="M68" s="16" t="str">
        <x:v>Code separately from principal output. Only item-level alignment between a concrete system result and a specific public external record qualifies as publicly aligned external trace.</x:v>
      </x:c>
      <x:c r="N68" s="16" t="str">
        <x:v>no external trace reported</x:v>
      </x:c>
      <x:c r="O68" s="16" t="str">
        <x:v>The cited source supports the selected label no external trace reported under the codebook's item-level public-record alignment criterion.</x:v>
      </x:c>
      <x:c r="P68" s="16" t="str">
        <x:v>https://arxiv.org/abs/2506.11791 | Paper pp. 1–3 (Abstract and benchmark construction), pp. 3–6 (SECVerifier and task criteria), pp. 7–10 (agent evaluation), and released code/dataset URLs on p. 1. | excerpt pages 2</x:v>
      </x:c>
      <x:c r="Q68" s="16" t="str">
        <x:v>no</x:v>
      </x:c>
      <x:c r="R68" s="11" t="str"/>
      <x:c r="S68" s="11" t="str">
        <x:v>2026-08-12</x:v>
      </x:c>
      <x:c r="T68" s="18" t="str">
        <x:f>IF(OR(AND(N68="unresolved",LEN(O68)&gt;0,LEN(P68)&gt;0,Q68="yes"),AND(LEN(N68)&gt;0,LEN(O68)&gt;0,LEN(P68)&gt;0,OR(Q68="yes",Q68="no"))),"ready","pending")</x:f>
        <x:v>ready</x:v>
      </x:c>
    </x:row>
    <x:row r="69" ht="44" customHeight="1">
      <x:c r="A69" s="10" t="str">
        <x:v>C26__lifecycle</x:v>
      </x:c>
      <x:c r="B69" s="11" t="str">
        <x:v>C26</x:v>
      </x:c>
      <x:c r="C69" s="11" t="str">
        <x:v>released_67</x:v>
      </x:c>
      <x:c r="D69" s="11" t="str">
        <x:v>CyberGym: Evaluating AI Agents' Cybersecurity Capabilities with Real-World Vulnerabilities at Scale</x:v>
      </x:c>
      <x:c r="E69" s="11" t="str">
        <x:v>lifecycle coverage</x:v>
      </x:c>
      <x:c r="F69" s="11" t="str">
        <x:v>multi-label</x:v>
      </x:c>
      <x:c r="G69" s="11" t="str">
        <x:v>execution observation;path and input exploration;reporting and audit;reproduction and validation</x:v>
      </x:c>
      <x:c r="H69" s="11" t="str">
        <x:v>candidate analysis;execution observation;patch validation;path and input exploration;reporting and audit;reproduction and validation</x:v>
      </x:c>
      <x:c r="I69" s="11" t="str">
        <x:v>source-linked lead</x:v>
      </x:c>
      <x:c r="J69" s="11" t="str">
        <x:v>https://www.cybergym.io/ | Paper pp. 1–6 (Abstract, benchmark construction and PoC oracle), pp. 6–9 (evaluation and zero-day deployment), and Appendix E pp. 34–35 (incomplete-patch/zero-day analysis). | excerpt pages 1, 2</x:v>
      </x:c>
      <x:c r="K69" s="11" t="str">
        <x:v>[p.1] Adjustable to different vulnerability analysis settings, CyberGym primarily tasks agents with generating a proof-of-concept test that reproduces a vulnerability, given only its text description and the corresponding codebase. [p.2] These unintended PoCs affect program versions where the target vulnerability has been patched, or even the latest version.</x:v>
      </x:c>
      <x:c r="L69" s="16" t="str">
        <x:v>A source-linked excerpt and locator are supplied as review leads; the cited source and locator should be retained for auditability.</x:v>
      </x:c>
      <x:c r="M69" s="16" t="str">
        <x:v>Mark only observable lifecycle actions or outputs. Reporting and audit requires explicit packaging, routing, disclosure, or audit transition; a report name alone is insufficient.</x:v>
      </x:c>
      <x:c r="N69" s="16" t="str">
        <x:v>path and input exploration;execution observation;reproduction and validation;reporting and audit</x:v>
      </x:c>
      <x:c r="O69" s="16" t="str">
        <x:v>The cited source supports the selected label path and input exploration;execution observation;reproduction and validation;reporting and audit; only observable workflow actions or outputs were retained.</x:v>
      </x:c>
      <x:c r="P69" s="16" t="str">
        <x:v>https://www.cybergym.io/ | Paper pp. 1–6 (Abstract, benchmark construction and PoC oracle), pp. 6–9 (evaluation and zero-day deployment), and Appendix E pp. 34–35 (incomplete-patch/zero-day analysis). | excerpt pages 1, 2</x:v>
      </x:c>
      <x:c r="Q69" s="16" t="str">
        <x:v>no</x:v>
      </x:c>
      <x:c r="R69" s="11" t="str"/>
      <x:c r="S69" s="11" t="str">
        <x:v>2026-08-12</x:v>
      </x:c>
      <x:c r="T69" s="18" t="str">
        <x:f>IF(OR(AND(N69="unresolved",LEN(O69)&gt;0,LEN(P69)&gt;0,Q69="yes"),AND(LEN(N69)&gt;0,LEN(O69)&gt;0,LEN(P69)&gt;0,OR(Q69="yes",Q69="no"))),"ready","pending")</x:f>
        <x:v>ready</x:v>
      </x:c>
    </x:row>
    <x:row r="70" ht="44" customHeight="1">
      <x:c r="A70" s="10" t="str">
        <x:v>C26__capability</x:v>
      </x:c>
      <x:c r="B70" s="11" t="str">
        <x:v>C26</x:v>
      </x:c>
      <x:c r="C70" s="11" t="str">
        <x:v>released_67</x:v>
      </x:c>
      <x:c r="D70" s="11" t="str">
        <x:v>CyberGym: Evaluating AI Agents' Cybersecurity Capabilities with Real-World Vulnerabilities at Scale</x:v>
      </x:c>
      <x:c r="E70" s="11" t="str">
        <x:v>cross-stage capability</x:v>
      </x:c>
      <x:c r="F70" s="11" t="str">
        <x:v>multi-label</x:v>
      </x:c>
      <x:c r="G70" s="11" t="str">
        <x:v>failure reuse / strategy update;feedback interpretation / loop adjustment;long-horizon state management;validation organization / evidence packaging</x:v>
      </x:c>
      <x:c r="H70" s="11" t="str">
        <x:v>context aggregation / rule extraction;failure reuse / strategy update;feedback interpretation / loop adjustment;long-horizon state management;tool routing / strategy routing;validation organization / evidence packaging</x:v>
      </x:c>
      <x:c r="I70" s="11" t="str">
        <x:v>source-linked lead</x:v>
      </x:c>
      <x:c r="J70" s="11" t="str">
        <x:v>https://www.cybergym.io/ | Paper pp. 1–6 (Abstract, benchmark construction and PoC oracle), pp. 6–9 (evaluation and zero-day deployment), and Appendix E pp. 34–35 (incomplete-patch/zero-day analysis). | excerpt pages 1, 4</x:v>
      </x:c>
      <x:c r="K70" s="11" t="str">
        <x:v>[p.1] 1 INTRODUCTION Large language model (LLM) agents are becoming remarkably capable at real-world software engineering tasks (Jimenez et al., 2024; Mündler et al., 2024), thanks to their strong reasoning and tool-use abilities (Yang et al., 2024; Wang et al., 2025; Anthropic). [p.4] Widely used by state-of-the-art software testing tools and cybersecurity competitions (Michal Zalewski; Google; DARPA), sanitizers serve as our oracle as well.</x:v>
      </x:c>
      <x:c r="L70" s="16" t="str">
        <x:v>A source-linked excerpt and locator are supplied as review leads; the cited source and locator should be retained for auditability.</x:v>
      </x:c>
      <x:c r="M70" s="16" t="str">
        <x:v>Require an explicit cross-stage connection. Information must guide later action; feedback must alter later action; packaging must assemble prior outputs; governance must enforce an actual gate.</x:v>
      </x:c>
      <x:c r="N70" s="16" t="str">
        <x:v>feedback interpretation / loop adjustment;validation organization / evidence packaging;long-horizon state management;failure reuse / strategy update</x:v>
      </x:c>
      <x:c r="O70" s="16" t="str">
        <x:v>The cited source supports the selected label feedback interpretation / loop adjustment;validation organization / evidence packaging;long-horizon state management;failure reuse / strategy update; each retained label requires an explicit connection that guides later action, feedback, packaging, or a gate.</x:v>
      </x:c>
      <x:c r="P70" s="16" t="str">
        <x:v>https://www.cybergym.io/ | Paper pp. 1–6 (Abstract, benchmark construction and PoC oracle), pp. 6–9 (evaluation and zero-day deployment), and Appendix E pp. 34–35 (incomplete-patch/zero-day analysis). | excerpt pages 1, 4</x:v>
      </x:c>
      <x:c r="Q70" s="16" t="str">
        <x:v>no</x:v>
      </x:c>
      <x:c r="R70" s="11" t="str"/>
      <x:c r="S70" s="11" t="str">
        <x:v>2026-08-12</x:v>
      </x:c>
      <x:c r="T70" s="18" t="str">
        <x:f>IF(OR(AND(N70="unresolved",LEN(O70)&gt;0,LEN(P70)&gt;0,Q70="yes"),AND(LEN(N70)&gt;0,LEN(O70)&gt;0,LEN(P70)&gt;0,OR(Q70="yes",Q70="no"))),"ready","pending")</x:f>
        <x:v>ready</x:v>
      </x:c>
    </x:row>
    <x:row r="71" ht="44" customHeight="1">
      <x:c r="A71" s="10" t="str">
        <x:v>C26__primary_shape</x:v>
      </x:c>
      <x:c r="B71" s="11" t="str">
        <x:v>C26</x:v>
      </x:c>
      <x:c r="C71" s="11" t="str">
        <x:v>released_67</x:v>
      </x:c>
      <x:c r="D71" s="11" t="str">
        <x:v>CyberGym: Evaluating AI Agents' Cybersecurity Capabilities with Real-World Vulnerabilities at Scale</x:v>
      </x:c>
      <x:c r="E71" s="11" t="str">
        <x:v>primary system shape</x:v>
      </x:c>
      <x:c r="F71" s="11" t="str">
        <x:v>single-label</x:v>
      </x:c>
      <x:c r="G71" s="11" t="str">
        <x:v>long-horizon pentest and CRS agent</x:v>
      </x:c>
      <x:c r="H71" s="11" t="str">
        <x:v>reproduction-, validation-, and repair-centered agent</x:v>
      </x:c>
      <x:c r="I71" s="11" t="str">
        <x:v>source-linked lead</x:v>
      </x:c>
      <x:c r="J71" s="11" t="str">
        <x:v>https://www.cybergym.io/ | Paper pp. 1–6 (Abstract, benchmark construction and PoC oracle), pp. 6–9 (evaluation and zero-day deployment), and Appendix E pp. 34–35 (incomplete-patch/zero-day analysis). | excerpt pages 2, 6</x:v>
      </x:c>
      <x:c r="K71" s="11" t="str">
        <x:v>[p.2] Target Vulnerability Description Target Vulnerability Reproduced Pre-Patch Executable Post-Patch Executable 0-day Vulnerability Latest Executable Codebase (Pre-Patch) src/ tests/ Makeﬁle doc/ Incomplete Patch Post-Patch Executable Evaluating Agent-Generated PoCs Benchmarking Security Impact Figure 1: CyberGym includes 1,507 instances from real-world vulnerabilities across 188 diverse projects. [p.6] Table 3 shows key statistics of CyberGym: (i) the vulnerability descriptions contain sufficient information for reproduction but have varied granularity, with a median length of 24 words, while a few reach up to 158 words; (ii) the ground truth PoCs exhibit significant size variation, ranging from several bytes to over 1 MB, reflecting the diversity of input formats and attack vectors across different executable types; (iii) the codebases are substantial, with a median of 1,117 files and 387,491 lines of code, spanning from tens of thousands to millions of lines of code across projects; (iv) patches demonstrate considerable variability in scope and complexity, typically consisting of small s</x:v>
      </x:c>
      <x:c r="L71" s="16" t="str">
        <x:v>A source-linked excerpt and locator are supplied as review leads; the cited source and locator should be retained for auditability.</x:v>
      </x:c>
      <x:c r="M71" s="16" t="str">
        <x:v>Choose the dominant locus and objective of agent control in the main evaluated contribution. Use the evaluation task and primary metrics to resolve ties; do not infer from agent count or system name.</x:v>
      </x:c>
      <x:c r="N71" s="16" t="str">
        <x:v>long-horizon pentest and CRS agent</x:v>
      </x:c>
      <x:c r="O71" s="16" t="str">
        <x:v>The cited source supports the selected label long-horizon pentest and CRS agent as the dominant evaluated locus and objective of agent control.</x:v>
      </x:c>
      <x:c r="P71" s="16" t="str">
        <x:v>https://www.cybergym.io/ | Paper pp. 1–6 (Abstract, benchmark construction and PoC oracle), pp. 6–9 (evaluation and zero-day deployment), and Appendix E pp. 34–35 (incomplete-patch/zero-day analysis). | excerpt pages 2, 6</x:v>
      </x:c>
      <x:c r="Q71" s="16" t="str">
        <x:v>no</x:v>
      </x:c>
      <x:c r="R71" s="11" t="str"/>
      <x:c r="S71" s="11" t="str">
        <x:v>2026-08-12</x:v>
      </x:c>
      <x:c r="T71" s="18" t="str">
        <x:f>IF(OR(AND(N71="unresolved",LEN(O71)&gt;0,LEN(P71)&gt;0,Q71="yes"),AND(LEN(N71)&gt;0,LEN(O71)&gt;0,LEN(P71)&gt;0,OR(Q71="yes",Q71="no"))),"ready","pending")</x:f>
        <x:v>ready</x:v>
      </x:c>
    </x:row>
    <x:row r="72" ht="44" customHeight="1">
      <x:c r="A72" s="10" t="str">
        <x:v>C26__external_traceability</x:v>
      </x:c>
      <x:c r="B72" s="11" t="str">
        <x:v>C26</x:v>
      </x:c>
      <x:c r="C72" s="11" t="str">
        <x:v>released_67</x:v>
      </x:c>
      <x:c r="D72" s="11" t="str">
        <x:v>CyberGym: Evaluating AI Agents' Cybersecurity Capabilities with Real-World Vulnerabilities at Scale</x:v>
      </x:c>
      <x:c r="E72" s="11" t="str">
        <x:v>external traceability</x:v>
      </x:c>
      <x:c r="F72" s="11" t="str">
        <x:v>single-label</x:v>
      </x:c>
      <x:c r="G72" s="11" t="str">
        <x:v>benchmark ground truth / public material</x:v>
      </x:c>
      <x:c r="H72" s="11" t="str">
        <x:v>author-reported external clue</x:v>
      </x:c>
      <x:c r="I72" s="11" t="str">
        <x:v>source-linked lead</x:v>
      </x:c>
      <x:c r="J72" s="11" t="str">
        <x:v>https://www.cybergym.io/ | Paper pp. 1–6 (Abstract, benchmark construction and PoC oracle), pp. 6–9 (evaluation and zero-day deployment), and Appendix E pp. 34–35 (incomplete-patch/zero-day analysis). | excerpt pages 2, 3</x:v>
      </x:c>
      <x:c r="K72" s="11" t="str">
        <x:v>[p.2] We have responsibly disclosed all zero-days to project maintainers, with 4 CVE assignments received and 10 vulnerabilities patched as of this writing. [p.3] Benchmark Scope # Instances # Projects Zero-days NYU CTF Bench (Shao et al., 2024) CTF 200 -✗ Cybench (Zhang et al., 2025b) CTF 40 -✗ AutoAdvExBench (Carlini et al., 2025) CTF+Real-world 75 41✗ CVE-Bench (Zhu et al., 2025) Real-world 40 26✗ BountyBench (Zhang et al., 2025a) Real-world 40 31✗ SEC-bench (Lee et al., 2025) Real-world 200 29✗ CyberGym (Our work) Real-world 1,507 188✓ Coding Benchmarks for AI AgentsExisting coding benchmarks such as SWE-bench (Jimenez et al., 2024) and SWT-bench (Mündler et al., 2024) evaluate AI agents’ ability to handle software engineering tasks.</x:v>
      </x:c>
      <x:c r="L72" s="16" t="str">
        <x:v>A source-linked excerpt and locator are supplied as review leads; the cited source and locator should be retained for auditability.</x:v>
      </x:c>
      <x:c r="M72" s="16" t="str">
        <x:v>Code separately from principal output. Only item-level alignment between a concrete system result and a specific public external record qualifies as publicly aligned external trace.</x:v>
      </x:c>
      <x:c r="N72" s="16" t="str">
        <x:v>benchmark ground truth / public material</x:v>
      </x:c>
      <x:c r="O72" s="16" t="str">
        <x:v>The cited source supports the selected label benchmark ground truth / public material under the codebook's item-level public-record alignment criterion.</x:v>
      </x:c>
      <x:c r="P72" s="16" t="str">
        <x:v>https://www.cybergym.io/ | Paper pp. 1–6 (Abstract, benchmark construction and PoC oracle), pp. 6–9 (evaluation and zero-day deployment), and Appendix E pp. 34–35 (incomplete-patch/zero-day analysis). | excerpt pages 2, 3</x:v>
      </x:c>
      <x:c r="Q72" s="16" t="str">
        <x:v>no</x:v>
      </x:c>
      <x:c r="R72" s="11" t="str"/>
      <x:c r="S72" s="11" t="str">
        <x:v>2026-08-12</x:v>
      </x:c>
      <x:c r="T72" s="18" t="str">
        <x:f>IF(OR(AND(N72="unresolved",LEN(O72)&gt;0,LEN(P72)&gt;0,Q72="yes"),AND(LEN(N72)&gt;0,LEN(O72)&gt;0,LEN(P72)&gt;0,OR(Q72="yes",Q72="no"))),"ready","pending")</x:f>
        <x:v>ready</x:v>
      </x:c>
    </x:row>
    <x:row r="73" ht="44" customHeight="1">
      <x:c r="A73" s="10" t="str">
        <x:v>C28__lifecycle</x:v>
      </x:c>
      <x:c r="B73" s="11" t="str">
        <x:v>C28</x:v>
      </x:c>
      <x:c r="C73" s="11" t="str">
        <x:v>released_67</x:v>
      </x:c>
      <x:c r="D73" s="11" t="str">
        <x:v>FuzzingBrain V2: A Multi-Agent LLM System for Automated Vulnerability Discovery and Reproduction</x:v>
      </x:c>
      <x:c r="E73" s="11" t="str">
        <x:v>lifecycle coverage</x:v>
      </x:c>
      <x:c r="F73" s="11" t="str">
        <x:v>multi-label</x:v>
      </x:c>
      <x:c r="G73" s="11" t="str">
        <x:v>candidate analysis;execution observation;patch validation;path and input exploration;reporting and audit;reproduction and validation</x:v>
      </x:c>
      <x:c r="H73" s="11" t="str">
        <x:v>candidate analysis;execution observation;path and input exploration;reporting and audit;reproduction and validation</x:v>
      </x:c>
      <x:c r="I73" s="11" t="str">
        <x:v>source-linked lead</x:v>
      </x:c>
      <x:c r="J73" s="11" t="str">
        <x:v>https://arxiv.org/abs/2605.21779 | Paper pp. 1–3 (Abstract/system goals), pp. 3–8 (three-stage design and PoC pipeline), pp. 8–12 (evaluation), and pp. 12–13 (zero-day table/case study). | excerpt pages 1</x:v>
      </x:c>
      <x:c r="K73" s="11" t="str">
        <x:v>[p.1] Dynamic analysis, partic- ularly fuzz testing with tools like AFL [33] and libFuzzer [17], discovers vulnerabilities through input mutation and crash monitoring. [p.1] In real-world deployment, FuzzingBrain V2 dis- covered 29 zero-day vulnerabilities across 12 open-source projects, all confirmed and fixed by maintainers, with 2 as- signed CVE IDs.</x:v>
      </x:c>
      <x:c r="L73" s="16" t="str">
        <x:v>A source-linked excerpt and locator are supplied as review leads; the cited source and locator should be retained for auditability.</x:v>
      </x:c>
      <x:c r="M73" s="16" t="str">
        <x:v>Mark only observable lifecycle actions or outputs. Reporting and audit requires explicit packaging, routing, disclosure, or audit transition; a report name alone is insufficient.</x:v>
      </x:c>
      <x:c r="N73" s="16" t="str">
        <x:v>candidate analysis;path and input exploration;execution observation;reproduction and validation;patch validation;reporting and audit</x:v>
      </x:c>
      <x:c r="O73" s="16" t="str">
        <x:v>The cited source supports the selected label candidate analysis;path and input exploration;execution observation;reproduction and validation;patch validation;reporting and audit; only observable workflow actions or outputs were retained.</x:v>
      </x:c>
      <x:c r="P73" s="16" t="str">
        <x:v>https://arxiv.org/abs/2605.21779 | Paper pp. 1–3 (Abstract/system goals), pp. 3–8 (three-stage design and PoC pipeline), pp. 8–12 (evaluation), and pp. 12–13 (zero-day table/case study). | excerpt pages 1</x:v>
      </x:c>
      <x:c r="Q73" s="16" t="str">
        <x:v>no</x:v>
      </x:c>
      <x:c r="R73" s="11" t="str"/>
      <x:c r="S73" s="11" t="str">
        <x:v>2026-08-12</x:v>
      </x:c>
      <x:c r="T73" s="18" t="str">
        <x:f>IF(OR(AND(N73="unresolved",LEN(O73)&gt;0,LEN(P73)&gt;0,Q73="yes"),AND(LEN(N73)&gt;0,LEN(O73)&gt;0,LEN(P73)&gt;0,OR(Q73="yes",Q73="no"))),"ready","pending")</x:f>
        <x:v>ready</x:v>
      </x:c>
    </x:row>
    <x:row r="74" ht="44" customHeight="1">
      <x:c r="A74" s="10" t="str">
        <x:v>C28__capability</x:v>
      </x:c>
      <x:c r="B74" s="11" t="str">
        <x:v>C28</x:v>
      </x:c>
      <x:c r="C74" s="11" t="str">
        <x:v>released_67</x:v>
      </x:c>
      <x:c r="D74" s="11" t="str">
        <x:v>FuzzingBrain V2: A Multi-Agent LLM System for Automated Vulnerability Discovery and Reproduction</x:v>
      </x:c>
      <x:c r="E74" s="11" t="str">
        <x:v>cross-stage capability</x:v>
      </x:c>
      <x:c r="F74" s="11" t="str">
        <x:v>multi-label</x:v>
      </x:c>
      <x:c r="G74" s="11" t="str">
        <x:v>context aggregation / rule extraction;feedback interpretation / loop adjustment;long-horizon state management;tool routing / strategy routing;validation organization / evidence packaging</x:v>
      </x:c>
      <x:c r="H74" s="11" t="str">
        <x:v>context aggregation / rule extraction;failure reuse / strategy update;feedback interpretation / loop adjustment;long-horizon state management;tool routing / strategy routing;validation organization / evidence packaging</x:v>
      </x:c>
      <x:c r="I74" s="11" t="str">
        <x:v>source-linked lead</x:v>
      </x:c>
      <x:c r="J74" s="11" t="str">
        <x:v>https://arxiv.org/abs/2605.21779 | Paper pp. 1–3 (Abstract/system goals), pp. 3–8 (three-stage design and PoC pipeline), pp. 8–12 (evaluation), and pp. 12–13 (zero-day table/case study). | excerpt pages 3</x:v>
      </x:c>
      <x:c r="K74" s="11" t="str">
        <x:v>[p.3] GRACE [20] attempts to improve LLM detection by combining graph structures with in-context learning. [p.3] Early work applied deep learning to vulnerability de- tection: VulDeePecker [15] pioneered using BLSTM on code slices, while Devign [36] leveraged graph neural networks to learn from AST, CFG, and DFG structures.</x:v>
      </x:c>
      <x:c r="L74" s="16" t="str">
        <x:v>A source-linked excerpt and locator are supplied as review leads; the cited source and locator should be retained for auditability.</x:v>
      </x:c>
      <x:c r="M74" s="16" t="str">
        <x:v>Require an explicit cross-stage connection. Information must guide later action; feedback must alter later action; packaging must assemble prior outputs; governance must enforce an actual gate.</x:v>
      </x:c>
      <x:c r="N74" s="16" t="str">
        <x:v>context aggregation / rule extraction;tool routing / strategy routing;feedback interpretation / loop adjustment;validation organization / evidence packaging;long-horizon state management</x:v>
      </x:c>
      <x:c r="O74" s="16" t="str">
        <x:v>The cited source supports the selected label context aggregation / rule extraction;tool routing / strategy routing;feedback interpretation / loop adjustment;validation organization / evidence packaging;long-horizon state management; each retained label requires an explicit connection that guides later action, feedback, packaging, or a gate.</x:v>
      </x:c>
      <x:c r="P74" s="16" t="str">
        <x:v>https://arxiv.org/abs/2605.21779 | Paper pp. 1–3 (Abstract/system goals), pp. 3–8 (three-stage design and PoC pipeline), pp. 8–12 (evaluation), and pp. 12–13 (zero-day table/case study). | excerpt pages 3</x:v>
      </x:c>
      <x:c r="Q74" s="16" t="str">
        <x:v>no</x:v>
      </x:c>
      <x:c r="R74" s="11" t="str"/>
      <x:c r="S74" s="11" t="str">
        <x:v>2026-08-12</x:v>
      </x:c>
      <x:c r="T74" s="18" t="str">
        <x:f>IF(OR(AND(N74="unresolved",LEN(O74)&gt;0,LEN(P74)&gt;0,Q74="yes"),AND(LEN(N74)&gt;0,LEN(O74)&gt;0,LEN(P74)&gt;0,OR(Q74="yes",Q74="no"))),"ready","pending")</x:f>
        <x:v>ready</x:v>
      </x:c>
    </x:row>
    <x:row r="75" ht="44" customHeight="1">
      <x:c r="A75" s="10" t="str">
        <x:v>C28__primary_shape</x:v>
      </x:c>
      <x:c r="B75" s="11" t="str">
        <x:v>C28</x:v>
      </x:c>
      <x:c r="C75" s="11" t="str">
        <x:v>released_67</x:v>
      </x:c>
      <x:c r="D75" s="11" t="str">
        <x:v>FuzzingBrain V2: A Multi-Agent LLM System for Automated Vulnerability Discovery and Reproduction</x:v>
      </x:c>
      <x:c r="E75" s="11" t="str">
        <x:v>primary system shape</x:v>
      </x:c>
      <x:c r="F75" s="11" t="str">
        <x:v>single-label</x:v>
      </x:c>
      <x:c r="G75" s="11" t="str">
        <x:v>long-horizon pentest and CRS agent</x:v>
      </x:c>
      <x:c r="H75" s="11" t="str">
        <x:v>reproduction-, validation-, and repair-centered agent</x:v>
      </x:c>
      <x:c r="I75" s="11" t="str">
        <x:v>source-linked lead</x:v>
      </x:c>
      <x:c r="J75" s="11" t="str">
        <x:v>https://arxiv.org/abs/2605.21779 | Paper pp. 1–3 (Abstract/system goals), pp. 3–8 (three-stage design and PoC pipeline), pp. 8–12 (evaluation), and pp. 12–13 (zero-day table/case study). | excerpt pages 3, 1</x:v>
      </x:c>
      <x:c r="K75" s="11" t="str">
        <x:v>[p.3] The system operates in three stages: (1)Static Analysisextracts function metadata and call graphs via Fuzz Introspector, stor- ing results in a database; (2)Agent Pipelineemploys special- ized LLM agents to discover and verify Suspicious Points through hierarchical search; (3)PoC Generationcombines PoC Generator reasoning with dual-layer fuzzing to generate reproducible crash-triggering inputs. [p.1] First, LLM-generated vulnerability reports suffer from high false positive rates and lack reproducible verification.</x:v>
      </x:c>
      <x:c r="L75" s="16" t="str">
        <x:v>A source-linked excerpt and locator are supplied as review leads; the cited source and locator should be retained for auditability.</x:v>
      </x:c>
      <x:c r="M75" s="16" t="str">
        <x:v>Choose the dominant locus and objective of agent control in the main evaluated contribution. Use the evaluation task and primary metrics to resolve ties; do not infer from agent count or system name.</x:v>
      </x:c>
      <x:c r="N75" s="16" t="str">
        <x:v>long-horizon pentest and CRS agent</x:v>
      </x:c>
      <x:c r="O75" s="16" t="str">
        <x:v>The cited source supports the selected label long-horizon pentest and CRS agent as the dominant evaluated locus and objective of agent control.</x:v>
      </x:c>
      <x:c r="P75" s="16" t="str">
        <x:v>https://arxiv.org/abs/2605.21779 | Paper pp. 1–3 (Abstract/system goals), pp. 3–8 (three-stage design and PoC pipeline), pp. 8–12 (evaluation), and pp. 12–13 (zero-day table/case study). | excerpt pages 3, 1</x:v>
      </x:c>
      <x:c r="Q75" s="16" t="str">
        <x:v>no</x:v>
      </x:c>
      <x:c r="R75" s="11" t="str"/>
      <x:c r="S75" s="11" t="str">
        <x:v>2026-08-12</x:v>
      </x:c>
      <x:c r="T75" s="18" t="str">
        <x:f>IF(OR(AND(N75="unresolved",LEN(O75)&gt;0,LEN(P75)&gt;0,Q75="yes"),AND(LEN(N75)&gt;0,LEN(O75)&gt;0,LEN(P75)&gt;0,OR(Q75="yes",Q75="no"))),"ready","pending")</x:f>
        <x:v>ready</x:v>
      </x:c>
    </x:row>
    <x:row r="76" ht="44" customHeight="1">
      <x:c r="A76" s="10" t="str">
        <x:v>C28__principal_evidence</x:v>
      </x:c>
      <x:c r="B76" s="11" t="str">
        <x:v>C28</x:v>
      </x:c>
      <x:c r="C76" s="11" t="str">
        <x:v>released_67</x:v>
      </x:c>
      <x:c r="D76" s="11" t="str">
        <x:v>FuzzingBrain V2: A Multi-Agent LLM System for Automated Vulnerability Discovery and Reproduction</x:v>
      </x:c>
      <x:c r="E76" s="11" t="str">
        <x:v>principal reported evidence output</x:v>
      </x:c>
      <x:c r="F76" s="11" t="str">
        <x:v>single-label</x:v>
      </x:c>
      <x:c r="G76" s="11" t="str">
        <x:v>reproducible validation</x:v>
      </x:c>
      <x:c r="H76" s="11" t="str">
        <x:v>externally traceable material</x:v>
      </x:c>
      <x:c r="I76" s="11" t="str">
        <x:v>source-linked lead</x:v>
      </x:c>
      <x:c r="J76" s="11" t="str">
        <x:v>https://arxiv.org/abs/2605.21779 | Paper pp. 1–3 (Abstract/system goals), pp. 3–8 (three-stage design and PoC pipeline), pp. 8–12 (evaluation), and pp. 12–13 (zero-day table/case study). | excerpt pages 3, 12</x:v>
      </x:c>
      <x:c r="K76" s="11" t="str">
        <x:v>[p.3] The system operates in three stages: (1)Static Analysisextracts function metadata and call graphs via Fuzz Introspector, stor- ing results in a database; (2)Agent Pipelineemploys special- ized LLM agents to discover and verify Suspicious Points through hierarchical search; (3)PoC Generationcombines PoC Generator reasoning with dual-layer fuzzing to generate reproducible crash-triggering inputs. [p.12] Found Submitted Confirmed * Fixed OpenPrint CUPS C 6 6 6 6 bluez C 5 5 0 0 fwupd C 4 4 4 4 upx C++ 4 4 4 4 avro Java/C 3 3 3 3 pdfbox Java 3 3 0 0 imagemagick C 2 2 2 2 V2xHub C++ 2 2 0 0 busybox C 2 2 0 0 cjson C 1 1 0 0 flatbuffers C++ 1 1 0 0 jq C 1 1 1 0 MongoDB C++ 1 1 1 0 mongoose C 1 1 1 1 njs C 1 1 1 1 openldap C 1 1 0 0 paddle C++ 1 1 1 1 simdutf C++ 1 1 1 1 tcpreplay C 1 1 1 0 Total–41 41 26 23 * Acknowledged by maintainers with issue tracking.</x:v>
      </x:c>
      <x:c r="L76" s="16" t="str">
        <x:v>A source-linked excerpt and locator are supplied as review leads; the cited source and locator should be retained for auditability.</x:v>
      </x:c>
      <x:c r="M76" s="16" t="str">
        <x:v>Select the observable result most directly supporting the main finding. Benchmark ground truth or aggregate CVE counts do not automatically establish externally traceable material.</x:v>
      </x:c>
      <x:c r="N76" s="16" t="str">
        <x:v>reproducible validation</x:v>
      </x:c>
      <x:c r="O76" s="16" t="str">
        <x:v>The cited source supports the selected label reproducible validation as the main observable result reported for the study.</x:v>
      </x:c>
      <x:c r="P76" s="16" t="str">
        <x:v>https://arxiv.org/abs/2605.21779 | Paper pp. 1–3 (Abstract/system goals), pp. 3–8 (three-stage design and PoC pipeline), pp. 8–12 (evaluation), and pp. 12–13 (zero-day table/case study). | excerpt pages 3, 12</x:v>
      </x:c>
      <x:c r="Q76" s="16" t="str">
        <x:v>no</x:v>
      </x:c>
      <x:c r="R76" s="11" t="str"/>
      <x:c r="S76" s="11" t="str">
        <x:v>2026-08-12</x:v>
      </x:c>
      <x:c r="T76" s="18" t="str">
        <x:f>IF(OR(AND(N76="unresolved",LEN(O76)&gt;0,LEN(P76)&gt;0,Q76="yes"),AND(LEN(N76)&gt;0,LEN(O76)&gt;0,LEN(P76)&gt;0,OR(Q76="yes",Q76="no"))),"ready","pending")</x:f>
        <x:v>ready</x:v>
      </x:c>
    </x:row>
    <x:row r="77" ht="44" customHeight="1">
      <x:c r="A77" s="10" t="str">
        <x:v>C28__external_traceability</x:v>
      </x:c>
      <x:c r="B77" s="11" t="str">
        <x:v>C28</x:v>
      </x:c>
      <x:c r="C77" s="11" t="str">
        <x:v>released_67</x:v>
      </x:c>
      <x:c r="D77" s="11" t="str">
        <x:v>FuzzingBrain V2: A Multi-Agent LLM System for Automated Vulnerability Discovery and Reproduction</x:v>
      </x:c>
      <x:c r="E77" s="11" t="str">
        <x:v>external traceability</x:v>
      </x:c>
      <x:c r="F77" s="11" t="str">
        <x:v>single-label</x:v>
      </x:c>
      <x:c r="G77" s="11" t="str">
        <x:v>author-reported external clue</x:v>
      </x:c>
      <x:c r="H77" s="11" t="str">
        <x:v>publicly aligned external trace</x:v>
      </x:c>
      <x:c r="I77" s="11" t="str">
        <x:v>source-linked lead</x:v>
      </x:c>
      <x:c r="J77" s="11" t="str">
        <x:v>https://arxiv.org/abs/2605.21779 | Paper pp. 1–3 (Abstract/system goals), pp. 3–8 (three-stage design and PoC pipeline), pp. 8–12 (evaluation), and pp. 12–13 (zero-day table/case study). | excerpt pages 1, 12</x:v>
      </x:c>
      <x:c r="K77" s="11" t="str">
        <x:v>[p.1] In real-world deployment, FuzzingBrain V2 dis- covered 29 zero-day vulnerabilities across 12 open-source projects, all confirmed and fixed by maintainers, with 2 as- signed CVE IDs. [p.12] Our deployment began in early 2026 and is still in its ini- tial stage; as of submission, 26 have been confirmed (ac- knowledged by maintainers with issue tracking) and 23 have been fixed.</x:v>
      </x:c>
      <x:c r="L77" s="16" t="str">
        <x:v>A source-linked excerpt and locator are supplied as review leads; the cited source and locator should be retained for auditability.</x:v>
      </x:c>
      <x:c r="M77" s="16" t="str">
        <x:v>Code separately from principal output. Only item-level alignment between a concrete system result and a specific public external record qualifies as publicly aligned external trace.</x:v>
      </x:c>
      <x:c r="N77" s="16" t="str">
        <x:v>author-reported external clue</x:v>
      </x:c>
      <x:c r="O77" s="16" t="str">
        <x:v>The cited source supports the selected label author-reported external clue under the codebook's item-level public-record alignment criterion.</x:v>
      </x:c>
      <x:c r="P77" s="16" t="str">
        <x:v>https://arxiv.org/abs/2605.21779 | Paper pp. 1–3 (Abstract/system goals), pp. 3–8 (three-stage design and PoC pipeline), pp. 8–12 (evaluation), and pp. 12–13 (zero-day table/case study). | excerpt pages 1, 12</x:v>
      </x:c>
      <x:c r="Q77" s="16" t="str">
        <x:v>no</x:v>
      </x:c>
      <x:c r="R77" s="11" t="str"/>
      <x:c r="S77" s="11" t="str">
        <x:v>2026-08-12</x:v>
      </x:c>
      <x:c r="T77" s="18" t="str">
        <x:f>IF(OR(AND(N77="unresolved",LEN(O77)&gt;0,LEN(P77)&gt;0,Q77="yes"),AND(LEN(N77)&gt;0,LEN(O77)&gt;0,LEN(P77)&gt;0,OR(Q77="yes",Q77="no"))),"ready","pending")</x:f>
        <x:v>ready</x:v>
      </x:c>
    </x:row>
    <x:row r="78" ht="44" customHeight="1">
      <x:c r="A78" s="10" t="str">
        <x:v>C29__lifecycle</x:v>
      </x:c>
      <x:c r="B78" s="11" t="str">
        <x:v>C29</x:v>
      </x:c>
      <x:c r="C78" s="11" t="str">
        <x:v>released_67</x:v>
      </x:c>
      <x:c r="D78" s="11" t="str">
        <x:v>Execution-State-Aware LLM Reasoning for Automated Proof-of-Vulnerability Generation</x:v>
      </x:c>
      <x:c r="E78" s="11" t="str">
        <x:v>lifecycle coverage</x:v>
      </x:c>
      <x:c r="F78" s="11" t="str">
        <x:v>multi-label</x:v>
      </x:c>
      <x:c r="G78" s="11" t="str">
        <x:v>execution observation;reproduction and validation</x:v>
      </x:c>
      <x:c r="H78" s="11" t="str">
        <x:v>candidate analysis;execution observation;path and input exploration;reproduction and validation</x:v>
      </x:c>
      <x:c r="I78" s="11" t="str">
        <x:v>source-linked lead</x:v>
      </x:c>
      <x:c r="J78" s="11" t="str">
        <x:v>https://arxiv.org/abs/2602.13574 | Paper pp. 1–3 (Abstract/motivation), pp. 3–6 (DrillAgent design and agents), and pp. 7–12 (SEC-bench evaluation, ablations and limitations). | excerpt pages 4, 7</x:v>
      </x:c>
      <x:c r="K78" s="11" t="str">
        <x:v>[p.4] Conference’17, July 2017, Washington, DC, USA Haoyu Li, Xijia Che, Yanhao Wang, Xiaojing Liao, and Luyi Xing I.Vulnerability AnalysisCrashBacktraceExtraction*Harness Command AnalysisRoot Cause Analysis II.Code Instrumentation ØSanitizer Instrumentation ØCoverage Instrumentation III.PathExplorationTest Case Generation PcovExecution Coverage Info Collection analyzewhystuck C/C Code Repo TargetVuln Location SanitizerReport* INPUT IV.CrashTriggering Validated PoV ! [p.7] 5 Evaluation In this section, we evaluate DrillAgent through the following research questions: • RQ1:How effective is DrillAgent in generating validated PoVs for real-world C/C++ vulnerabilities? •RQ2:What isDrillAgent’s runtime overhead? • RQ3:Is root cause analysis critical for our agent to retrieve contextual dependencies efficiently? • RQ4:How does fine-grained execution coverage feedback affect DrillAgent’s performance? • RQ5:Is it necessary to decompose PoV generation into two phases (i.e., path exploration and crash triggering)?</x:v>
      </x:c>
      <x:c r="L78" s="16" t="str">
        <x:v>A source-linked excerpt and locator are supplied as review leads; the cited source and locator should be retained for auditability.</x:v>
      </x:c>
      <x:c r="M78" s="16" t="str">
        <x:v>Mark only observable lifecycle actions or outputs. Reporting and audit requires explicit packaging, routing, disclosure, or audit transition; a report name alone is insufficient.</x:v>
      </x:c>
      <x:c r="N78" s="16" t="str">
        <x:v>execution observation;reproduction and validation</x:v>
      </x:c>
      <x:c r="O78" s="16" t="str">
        <x:v>The cited source supports the selected label execution observation;reproduction and validation; only observable workflow actions or outputs were retained.</x:v>
      </x:c>
      <x:c r="P78" s="16" t="str">
        <x:v>https://arxiv.org/abs/2602.13574 | Paper pp. 1–3 (Abstract/motivation), pp. 3–6 (DrillAgent design and agents), and pp. 7–12 (SEC-bench evaluation, ablations and limitations). | excerpt pages 4, 7</x:v>
      </x:c>
      <x:c r="Q78" s="16" t="str">
        <x:v>no</x:v>
      </x:c>
      <x:c r="R78" s="11" t="str"/>
      <x:c r="S78" s="11" t="str">
        <x:v>2026-08-12</x:v>
      </x:c>
      <x:c r="T78" s="18" t="str">
        <x:f>IF(OR(AND(N78="unresolved",LEN(O78)&gt;0,LEN(P78)&gt;0,Q78="yes"),AND(LEN(N78)&gt;0,LEN(O78)&gt;0,LEN(P78)&gt;0,OR(Q78="yes",Q78="no"))),"ready","pending")</x:f>
        <x:v>ready</x:v>
      </x:c>
    </x:row>
    <x:row r="79" ht="44" customHeight="1">
      <x:c r="A79" s="10" t="str">
        <x:v>C29__capability</x:v>
      </x:c>
      <x:c r="B79" s="11" t="str">
        <x:v>C29</x:v>
      </x:c>
      <x:c r="C79" s="11" t="str">
        <x:v>released_67</x:v>
      </x:c>
      <x:c r="D79" s="11" t="str">
        <x:v>Execution-State-Aware LLM Reasoning for Automated Proof-of-Vulnerability Generation</x:v>
      </x:c>
      <x:c r="E79" s="11" t="str">
        <x:v>cross-stage capability</x:v>
      </x:c>
      <x:c r="F79" s="11" t="str">
        <x:v>multi-label</x:v>
      </x:c>
      <x:c r="G79" s="11" t="str">
        <x:v>context aggregation / rule extraction;feedback interpretation / loop adjustment;validation organization / evidence packaging</x:v>
      </x:c>
      <x:c r="H79" s="11" t="str">
        <x:v>context aggregation / rule extraction;failure reuse / strategy update;feedback interpretation / loop adjustment;tool routing / strategy routing;validation organization / evidence packaging</x:v>
      </x:c>
      <x:c r="I79" s="11" t="str">
        <x:v>source-linked lead</x:v>
      </x:c>
      <x:c r="J79" s="11" t="str">
        <x:v>https://arxiv.org/abs/2602.13574 | Paper pp. 1–3 (Abstract/motivation), pp. 3–6 (DrillAgent design and agents), and pp. 7–12 (SEC-bench evaluation, ablations and limitations). | excerpt pages 1, 2</x:v>
      </x:c>
      <x:c r="K79" s="11" t="str">
        <x:v>[p.1] We argue that this failure is not merely due to model capacity but stems from a mismatch in problem formulation. [p.2] We select this scope for two primary reasons.</x:v>
      </x:c>
      <x:c r="L79" s="16" t="str">
        <x:v>A source-linked excerpt and locator are supplied as review leads; the cited source and locator should be retained for auditability.</x:v>
      </x:c>
      <x:c r="M79" s="16" t="str">
        <x:v>Require an explicit cross-stage connection. Information must guide later action; feedback must alter later action; packaging must assemble prior outputs; governance must enforce an actual gate.</x:v>
      </x:c>
      <x:c r="N79" s="16" t="str">
        <x:v>context aggregation / rule extraction;feedback interpretation / loop adjustment;validation organization / evidence packaging</x:v>
      </x:c>
      <x:c r="O79" s="16" t="str">
        <x:v>The cited source supports the selected label context aggregation / rule extraction;feedback interpretation / loop adjustment;validation organization / evidence packaging; each retained label requires an explicit connection that guides later action, feedback, packaging, or a gate.</x:v>
      </x:c>
      <x:c r="P79" s="16" t="str">
        <x:v>https://arxiv.org/abs/2602.13574 | Paper pp. 1–3 (Abstract/motivation), pp. 3–6 (DrillAgent design and agents), and pp. 7–12 (SEC-bench evaluation, ablations and limitations). | excerpt pages 1, 2</x:v>
      </x:c>
      <x:c r="Q79" s="16" t="str">
        <x:v>no</x:v>
      </x:c>
      <x:c r="R79" s="11" t="str"/>
      <x:c r="S79" s="11" t="str">
        <x:v>2026-08-12</x:v>
      </x:c>
      <x:c r="T79" s="18" t="str">
        <x:f>IF(OR(AND(N79="unresolved",LEN(O79)&gt;0,LEN(P79)&gt;0,Q79="yes"),AND(LEN(N79)&gt;0,LEN(O79)&gt;0,LEN(P79)&gt;0,OR(Q79="yes",Q79="no"))),"ready","pending")</x:f>
        <x:v>ready</x:v>
      </x:c>
    </x:row>
    <x:row r="80" ht="44" customHeight="1">
      <x:c r="A80" s="10" t="str">
        <x:v>C30__lifecycle</x:v>
      </x:c>
      <x:c r="B80" s="11" t="str">
        <x:v>C30</x:v>
      </x:c>
      <x:c r="C80" s="11" t="str">
        <x:v>released_67</x:v>
      </x:c>
      <x:c r="D80" s="11" t="str">
        <x:v>OSS-CRS: Liberating AIxCC Cyber Reasoning Systems for Real-World Open-Source Security</x:v>
      </x:c>
      <x:c r="E80" s="11" t="str">
        <x:v>lifecycle coverage</x:v>
      </x:c>
      <x:c r="F80" s="11" t="str">
        <x:v>multi-label</x:v>
      </x:c>
      <x:c r="G80" s="11" t="str">
        <x:v>candidate analysis;execution observation;path and input exploration;reporting and audit;reproduction and validation</x:v>
      </x:c>
      <x:c r="H80" s="11" t="str">
        <x:v>candidate analysis;execution observation;patch validation;path and input exploration;reporting and audit;reproduction and validation</x:v>
      </x:c>
      <x:c r="I80" s="11" t="str">
        <x:v>source-linked lead</x:v>
      </x:c>
      <x:c r="J80" s="11" t="str">
        <x:v>https://arxiv.org/abs/2603.08566 | Paper pp. 1–4 (Abstract/motivation), pp. 4–7 (architecture and adapters), pp. 7–9 (porting/evaluation and disclosure outcomes), and p. 10 (conclusion/ethics). | excerpt pages 2</x:v>
      </x:c>
      <x:c r="K80" s="11" t="str">
        <x:v>[p.2] CRS capabilities.Traditional security tools typically focus on a single stage of vulnerability management: fuzzers discover crashes, static analyzers flag potential flaws, and program repair systems synthesize patches, but integrated pipelines from discovery through a validated fix remain uncommon. [p.2] A CRS unifies these stages.Bug findinggenerates a proof of vulnerability (PoV), an input that triggers abnormal execution such as a crash or sanitizer violation.Bug fixing synthesizes a patch and validates it by rebuilding the target and rerunning tests, confirming that the PoV no longer triggers while preserving the program’s original functionality.</x:v>
      </x:c>
      <x:c r="L80" s="16" t="str">
        <x:v>A source-linked excerpt and locator are supplied as review leads; the cited source and locator should be retained for auditability.</x:v>
      </x:c>
      <x:c r="M80" s="16" t="str">
        <x:v>Mark only observable lifecycle actions or outputs. Reporting and audit requires explicit packaging, routing, disclosure, or audit transition; a report name alone is insufficient.</x:v>
      </x:c>
      <x:c r="N80" s="16" t="str">
        <x:v>candidate analysis;path and input exploration;execution observation;reproduction and validation;reporting and audit</x:v>
      </x:c>
      <x:c r="O80" s="16" t="str">
        <x:v>The cited source supports the selected label candidate analysis;path and input exploration;execution observation;reproduction and validation;reporting and audit; only observable workflow actions or outputs were retained.</x:v>
      </x:c>
      <x:c r="P80" s="16" t="str">
        <x:v>https://arxiv.org/abs/2603.08566 | Paper pp. 1–4 (Abstract/motivation), pp. 4–7 (architecture and adapters), pp. 7–9 (porting/evaluation and disclosure outcomes), and p. 10 (conclusion/ethics). | excerpt pages 2</x:v>
      </x:c>
      <x:c r="Q80" s="16" t="str">
        <x:v>no</x:v>
      </x:c>
      <x:c r="R80" s="11" t="str"/>
      <x:c r="S80" s="11" t="str">
        <x:v>2026-08-12</x:v>
      </x:c>
      <x:c r="T80" s="18" t="str">
        <x:f>IF(OR(AND(N80="unresolved",LEN(O80)&gt;0,LEN(P80)&gt;0,Q80="yes"),AND(LEN(N80)&gt;0,LEN(O80)&gt;0,LEN(P80)&gt;0,OR(Q80="yes",Q80="no"))),"ready","pending")</x:f>
        <x:v>ready</x:v>
      </x:c>
    </x:row>
    <x:row r="81" ht="44" customHeight="1">
      <x:c r="A81" s="10" t="str">
        <x:v>C31__lifecycle</x:v>
      </x:c>
      <x:c r="B81" s="11" t="str">
        <x:v>C31</x:v>
      </x:c>
      <x:c r="C81" s="11" t="str">
        <x:v>released_67</x:v>
      </x:c>
      <x:c r="D81" s="11" t="str">
        <x:v>Contextualizing Sink Knowledge for Java Vulnerability Discovery</x:v>
      </x:c>
      <x:c r="E81" s="11" t="str">
        <x:v>lifecycle coverage</x:v>
      </x:c>
      <x:c r="F81" s="11" t="str">
        <x:v>multi-label</x:v>
      </x:c>
      <x:c r="G81" s="11" t="str">
        <x:v>execution observation;path and input exploration;reproduction and validation</x:v>
      </x:c>
      <x:c r="H81" s="11" t="str">
        <x:v>candidate analysis;execution observation;path and input exploration;reporting and audit;reproduction and validation</x:v>
      </x:c>
      <x:c r="I81" s="11" t="str">
        <x:v>source-linked lead</x:v>
      </x:c>
      <x:c r="J81" s="11" t="str">
        <x:v>https://arxiv.org/abs/2604.01645 | Paper pp. 1–4 (Abstract/overview), pp. 4–7 (methodology and agents), pp. 7–14 (evaluation and industry validation), and pp. 15–17 (discussion/disclosure). | excerpt pages 2</x:v>
      </x:c>
      <x:c r="K81" s="11" t="str">
        <x:v>[p.2] While this coverage is not exhaustive, our approach generalizes to any sink-based vulnerability that can be detected through dynamic analysis. [p.2] First, a sink detection component identifies high- potential sinks within the target program by extracting can- didates from CodeQL’s CWE-specific sink database [14] and refining them through multi-dimensional filtering: va- lidity checks eliminate sinks with constant arguments or in test code, reachability analysis filters unreachable lo- cations, and LLM-based exploitability assessment focuses efforts on truly vulnerable targets.</x:v>
      </x:c>
      <x:c r="L81" s="16" t="str">
        <x:v>A source-linked excerpt and locator are supplied as review leads; the cited source and locator should be retained for auditability.</x:v>
      </x:c>
      <x:c r="M81" s="16" t="str">
        <x:v>Mark only observable lifecycle actions or outputs. Reporting and audit requires explicit packaging, routing, disclosure, or audit transition; a report name alone is insufficient.</x:v>
      </x:c>
      <x:c r="N81" s="16" t="str">
        <x:v>path and input exploration;execution observation;reproduction and validation</x:v>
      </x:c>
      <x:c r="O81" s="16" t="str">
        <x:v>The cited source supports the selected label path and input exploration;execution observation;reproduction and validation; only observable workflow actions or outputs were retained.</x:v>
      </x:c>
      <x:c r="P81" s="16" t="str">
        <x:v>https://arxiv.org/abs/2604.01645 | Paper pp. 1–4 (Abstract/overview), pp. 4–7 (methodology and agents), pp. 7–14 (evaluation and industry validation), and pp. 15–17 (discussion/disclosure). | excerpt pages 2</x:v>
      </x:c>
      <x:c r="Q81" s="16" t="str">
        <x:v>no</x:v>
      </x:c>
      <x:c r="R81" s="11" t="str"/>
      <x:c r="S81" s="11" t="str">
        <x:v>2026-08-12</x:v>
      </x:c>
      <x:c r="T81" s="18" t="str">
        <x:f>IF(OR(AND(N81="unresolved",LEN(O81)&gt;0,LEN(P81)&gt;0,Q81="yes"),AND(LEN(N81)&gt;0,LEN(O81)&gt;0,LEN(P81)&gt;0,OR(Q81="yes",Q81="no"))),"ready","pending")</x:f>
        <x:v>ready</x:v>
      </x:c>
    </x:row>
    <x:row r="82" ht="44" customHeight="1">
      <x:c r="A82" s="10" t="str">
        <x:v>C31__capability</x:v>
      </x:c>
      <x:c r="B82" s="11" t="str">
        <x:v>C31</x:v>
      </x:c>
      <x:c r="C82" s="11" t="str">
        <x:v>released_67</x:v>
      </x:c>
      <x:c r="D82" s="11" t="str">
        <x:v>Contextualizing Sink Knowledge for Java Vulnerability Discovery</x:v>
      </x:c>
      <x:c r="E82" s="11" t="str">
        <x:v>cross-stage capability</x:v>
      </x:c>
      <x:c r="F82" s="11" t="str">
        <x:v>multi-label</x:v>
      </x:c>
      <x:c r="G82" s="11" t="str">
        <x:v>long-horizon state management</x:v>
      </x:c>
      <x:c r="H82" s="11" t="str">
        <x:v>context aggregation / rule extraction;feedback interpretation / loop adjustment;tool routing / strategy routing;validation organization / evidence packaging</x:v>
      </x:c>
      <x:c r="I82" s="11" t="str">
        <x:v>source-linked lead</x:v>
      </x:c>
      <x:c r="J82" s="11" t="str">
        <x:v>https://arxiv.org/abs/2604.01645 | Paper pp. 1–4 (Abstract/overview), pp. 4–7 (methodology and agents), pp. 7–14 (evaluation and industry validation), and pp. 15–17 (discussion/disclosure). | excerpt pages 1, 2</x:v>
      </x:c>
      <x:c r="K82" s="11" t="str">
        <x:v>[p.1] This knowledge spans mul- tiple dimensions: program context captures how execution reaches the sink through control flow paths, input valida- tion logic, and data dependencies; API semantics defines what constitutes unsafe usage in terms of parameter con- straints, argument types, and behavioral specifications; and vulnerability characteristics specify exploitation conditions including CWE-specific requirements and sanitizer triggers. [p.2] The agent iteratively refines exploit attempts based on execu- tion feedback, leveraging vulnerability-specific knowledge to satisfy sanitizer conditions.</x:v>
      </x:c>
      <x:c r="L82" s="16" t="str">
        <x:v>A source-linked excerpt and locator are supplied as review leads; the cited source and locator should be retained for auditability.</x:v>
      </x:c>
      <x:c r="M82" s="16" t="str">
        <x:v>Require an explicit cross-stage connection. Information must guide later action; feedback must alter later action; packaging must assemble prior outputs; governance must enforce an actual gate.</x:v>
      </x:c>
      <x:c r="N82" s="16" t="str">
        <x:v>long-horizon state management</x:v>
      </x:c>
      <x:c r="O82" s="16" t="str">
        <x:v>The cited source supports the selected label long-horizon state management; each retained label requires an explicit connection that guides later action, feedback, packaging, or a gate.</x:v>
      </x:c>
      <x:c r="P82" s="16" t="str">
        <x:v>https://arxiv.org/abs/2604.01645 | Paper pp. 1–4 (Abstract/overview), pp. 4–7 (methodology and agents), pp. 7–14 (evaluation and industry validation), and pp. 15–17 (discussion/disclosure). | excerpt pages 1, 2</x:v>
      </x:c>
      <x:c r="Q82" s="16" t="str">
        <x:v>no</x:v>
      </x:c>
      <x:c r="R82" s="11" t="str"/>
      <x:c r="S82" s="11" t="str">
        <x:v>2026-08-12</x:v>
      </x:c>
      <x:c r="T82" s="18" t="str">
        <x:f>IF(OR(AND(N82="unresolved",LEN(O82)&gt;0,LEN(P82)&gt;0,Q82="yes"),AND(LEN(N82)&gt;0,LEN(O82)&gt;0,LEN(P82)&gt;0,OR(Q82="yes",Q82="no"))),"ready","pending")</x:f>
        <x:v>ready</x:v>
      </x:c>
    </x:row>
    <x:row r="83" ht="44" customHeight="1">
      <x:c r="A83" s="10" t="str">
        <x:v>U01__lifecycle</x:v>
      </x:c>
      <x:c r="B83" s="11" t="str">
        <x:v>U01</x:v>
      </x:c>
      <x:c r="C83" s="11" t="str">
        <x:v>released_67</x:v>
      </x:c>
      <x:c r="D83" s="11" t="str">
        <x:v>RAVEN: Agentic RAG for Automated Vulnerability Repair</x:v>
      </x:c>
      <x:c r="E83" s="11" t="str">
        <x:v>lifecycle coverage</x:v>
      </x:c>
      <x:c r="F83" s="11" t="str">
        <x:v>multi-label</x:v>
      </x:c>
      <x:c r="G83" s="11" t="str">
        <x:v>candidate analysis;patch validation</x:v>
      </x:c>
      <x:c r="H83" s="11" t="str">
        <x:v>candidate analysis;patch validation;reporting and audit</x:v>
      </x:c>
      <x:c r="I83" s="11" t="str">
        <x:v>source-linked lead</x:v>
      </x:c>
      <x:c r="J83" s="11" t="str">
        <x:v>https://arxiv.org/abs/2606.22647 | Paper pp. 1–3 (Abstract/design motivation), pp. 3–7 (RAG/curator/repair-review loop), and pp. 7–11 (evaluation and conclusion). | excerpt pages 7, 1</x:v>
      </x:c>
      <x:c r="K83" s="11" t="str">
        <x:v>[p.7] Furthermore, we adopt a subset of theZero-DayC language dataset introduced in APPATCH [20], consisting of vulnerabilities reported after 2024, to evaluate RA VEN on recently disclosed and diverse vulnerability instances. [p.1] In 2025, more than 48K CVEs were published, averaging around 131 disclosures per day [1].</x:v>
      </x:c>
      <x:c r="L83" s="16" t="str">
        <x:v>A source-linked excerpt and locator are supplied as review leads; the cited source and locator should be retained for auditability.</x:v>
      </x:c>
      <x:c r="M83" s="16" t="str">
        <x:v>Mark only observable lifecycle actions or outputs. Reporting and audit requires explicit packaging, routing, disclosure, or audit transition; a report name alone is insufficient.</x:v>
      </x:c>
      <x:c r="N83" s="16" t="str">
        <x:v>candidate analysis;patch validation</x:v>
      </x:c>
      <x:c r="O83" s="16" t="str">
        <x:v>The cited source supports the selected label candidate analysis;patch validation; only observable workflow actions or outputs were retained.</x:v>
      </x:c>
      <x:c r="P83" s="16" t="str">
        <x:v>https://arxiv.org/abs/2606.22647 | Paper pp. 1–3 (Abstract/design motivation), pp. 3–7 (RAG/curator/repair-review loop), and pp. 7–11 (evaluation and conclusion). | excerpt pages 7, 1</x:v>
      </x:c>
      <x:c r="Q83" s="16" t="str">
        <x:v>no</x:v>
      </x:c>
      <x:c r="R83" s="11" t="str"/>
      <x:c r="S83" s="11" t="str">
        <x:v>2026-08-12</x:v>
      </x:c>
      <x:c r="T83" s="18" t="str">
        <x:f>IF(OR(AND(N83="unresolved",LEN(O83)&gt;0,LEN(P83)&gt;0,Q83="yes"),AND(LEN(N83)&gt;0,LEN(O83)&gt;0,LEN(P83)&gt;0,OR(Q83="yes",Q83="no"))),"ready","pending")</x:f>
        <x:v>ready</x:v>
      </x:c>
    </x:row>
    <x:row r="84" ht="44" customHeight="1">
      <x:c r="A84" s="10" t="str">
        <x:v>U01__primary_shape</x:v>
      </x:c>
      <x:c r="B84" s="11" t="str">
        <x:v>U01</x:v>
      </x:c>
      <x:c r="C84" s="11" t="str">
        <x:v>released_67</x:v>
      </x:c>
      <x:c r="D84" s="11" t="str">
        <x:v>RAVEN: Agentic RAG for Automated Vulnerability Repair</x:v>
      </x:c>
      <x:c r="E84" s="11" t="str">
        <x:v>primary system shape</x:v>
      </x:c>
      <x:c r="F84" s="11" t="str">
        <x:v>single-label</x:v>
      </x:c>
      <x:c r="G84" s="11" t="str">
        <x:v>candidate-analysis system</x:v>
      </x:c>
      <x:c r="H84" s="11" t="str">
        <x:v>reproduction-, validation-, and repair-centered agent</x:v>
      </x:c>
      <x:c r="I84" s="11" t="str">
        <x:v>source-linked lead</x:v>
      </x:c>
      <x:c r="J84" s="11" t="str">
        <x:v>https://arxiv.org/abs/2606.22647 | Paper pp. 1–3 (Abstract/design motivation), pp. 3–7 (RAG/curator/repair-review loop), and pp. 7–11 (evaluation and conclusion). | excerpt pages 3, 11</x:v>
      </x:c>
      <x:c r="K84" s="11" t="str">
        <x:v>[p.3] There- fore,Patch GeneratorandPatch Reviewermodules are involved into an automated iterative repair process, where Patch Generatorproduces candidate patch, which is re- viewed byPatch Reviewerand a static analysis tool. [p.11] LLM-based Vulnerability RepairPatchAgent [19] intro- duces an agent-based framework combining fault localiza- tion, patch generation, and validation.</x:v>
      </x:c>
      <x:c r="L84" s="16" t="str">
        <x:v>A source-linked excerpt and locator are supplied as review leads; the cited source and locator should be retained for auditability.</x:v>
      </x:c>
      <x:c r="M84" s="16" t="str">
        <x:v>Choose the dominant locus and objective of agent control in the main evaluated contribution. Use the evaluation task and primary metrics to resolve ties; do not infer from agent count or system name.</x:v>
      </x:c>
      <x:c r="N84" s="16" t="str">
        <x:v>candidate-analysis system</x:v>
      </x:c>
      <x:c r="O84" s="16" t="str">
        <x:v>The cited source supports the selected label candidate-analysis system as the dominant evaluated locus and objective of agent control.</x:v>
      </x:c>
      <x:c r="P84" s="16" t="str">
        <x:v>https://arxiv.org/abs/2606.22647 | Paper pp. 1–3 (Abstract/design motivation), pp. 3–7 (RAG/curator/repair-review loop), and pp. 7–11 (evaluation and conclusion). | excerpt pages 3, 11</x:v>
      </x:c>
      <x:c r="Q84" s="16" t="str">
        <x:v>no</x:v>
      </x:c>
      <x:c r="R84" s="11" t="str"/>
      <x:c r="S84" s="11" t="str">
        <x:v>2026-08-12</x:v>
      </x:c>
      <x:c r="T84" s="18" t="str">
        <x:f>IF(OR(AND(N84="unresolved",LEN(O84)&gt;0,LEN(P84)&gt;0,Q84="yes"),AND(LEN(N84)&gt;0,LEN(O84)&gt;0,LEN(P84)&gt;0,OR(Q84="yes",Q84="no"))),"ready","pending")</x:f>
        <x:v>ready</x:v>
      </x:c>
    </x:row>
    <x:row r="85" ht="44" customHeight="1">
      <x:c r="A85" s="10" t="str">
        <x:v>U02__principal_evidence</x:v>
      </x:c>
      <x:c r="B85" s="11" t="str">
        <x:v>U02</x:v>
      </x:c>
      <x:c r="C85" s="11" t="str">
        <x:v>released_67</x:v>
      </x:c>
      <x:c r="D85" s="11" t="str">
        <x:v>Revelio: Cost-Efficient Agentic Memory Safety Vulnerability Detection For Repository-Scale Codebases</x:v>
      </x:c>
      <x:c r="E85" s="11" t="str">
        <x:v>principal reported evidence output</x:v>
      </x:c>
      <x:c r="F85" s="11" t="str">
        <x:v>single-label</x:v>
      </x:c>
      <x:c r="G85" s="11" t="str">
        <x:v>reproducible validation</x:v>
      </x:c>
      <x:c r="H85" s="11" t="str">
        <x:v>externally traceable material</x:v>
      </x:c>
      <x:c r="I85" s="11" t="str">
        <x:v>source-linked lead</x:v>
      </x:c>
      <x:c r="J85" s="11" t="str">
        <x:v>https://arxiv.org/abs/2606.22263 | Paper pp. 1–6 (architecture), pp. 6–11 (evaluation), especially pp. 8–9 (finding table and CVE case study). | excerpt pages 8, 2</x:v>
      </x:c>
      <x:c r="K85" s="11" t="str">
        <x:v>[p.8] Vulnerability Disclosure.We reported these vulnerabilities to the corresponding software maintainers immediately after manually validating the full bug report, reproduction steps, and PoVs generated by REVELIO. [p.2] REVELIOreports a vulnerability only when this PoV reproducibly triggers a detection from the sanitizer.</x:v>
      </x:c>
      <x:c r="L85" s="16" t="str">
        <x:v>A source-linked excerpt and locator are supplied as review leads; the cited source and locator should be retained for auditability.</x:v>
      </x:c>
      <x:c r="M85" s="16" t="str">
        <x:v>Select the observable result most directly supporting the main finding. Benchmark ground truth or aggregate CVE counts do not automatically establish externally traceable material.</x:v>
      </x:c>
      <x:c r="N85" s="16" t="str">
        <x:v>reproducible validation</x:v>
      </x:c>
      <x:c r="O85" s="16" t="str">
        <x:v>The cited source supports the selected label reproducible validation as the main observable result reported for the study.</x:v>
      </x:c>
      <x:c r="P85" s="16" t="str">
        <x:v>https://arxiv.org/abs/2606.22263 | Paper pp. 1–6 (architecture), pp. 6–11 (evaluation), especially pp. 8–9 (finding table and CVE case study). | excerpt pages 8, 2</x:v>
      </x:c>
      <x:c r="Q85" s="16" t="str">
        <x:v>no</x:v>
      </x:c>
      <x:c r="R85" s="11" t="str"/>
      <x:c r="S85" s="11" t="str">
        <x:v>2026-08-12</x:v>
      </x:c>
      <x:c r="T85" s="18" t="str">
        <x:f>IF(OR(AND(N85="unresolved",LEN(O85)&gt;0,LEN(P85)&gt;0,Q85="yes"),AND(LEN(N85)&gt;0,LEN(O85)&gt;0,LEN(P85)&gt;0,OR(Q85="yes",Q85="no"))),"ready","pending")</x:f>
        <x:v>ready</x:v>
      </x:c>
    </x:row>
    <x:row r="86" ht="44" customHeight="1">
      <x:c r="A86" s="10" t="str">
        <x:v>U02__external_traceability</x:v>
      </x:c>
      <x:c r="B86" s="11" t="str">
        <x:v>U02</x:v>
      </x:c>
      <x:c r="C86" s="11" t="str">
        <x:v>released_67</x:v>
      </x:c>
      <x:c r="D86" s="11" t="str">
        <x:v>Revelio: Cost-Efficient Agentic Memory Safety Vulnerability Detection For Repository-Scale Codebases</x:v>
      </x:c>
      <x:c r="E86" s="11" t="str">
        <x:v>external traceability</x:v>
      </x:c>
      <x:c r="F86" s="11" t="str">
        <x:v>single-label</x:v>
      </x:c>
      <x:c r="G86" s="11" t="str">
        <x:v>author-reported external clue</x:v>
      </x:c>
      <x:c r="H86" s="11" t="str">
        <x:v>publicly aligned external trace</x:v>
      </x:c>
      <x:c r="I86" s="11" t="str">
        <x:v>source-linked lead</x:v>
      </x:c>
      <x:c r="J86" s="11" t="str">
        <x:v>https://arxiv.org/abs/2606.22263 | Paper pp. 1–6 (architecture), pp. 6–11 (evaluation), especially pp. 8–9 (finding table and CVE case study). | excerpt pages 8, 9</x:v>
      </x:c>
      <x:c r="K86" s="11" t="str">
        <x:v>[p.8] Regarding the vulnerabilities that have been confirmed and fixed by project maintainers, seven have been assigned or requested as CVEs. [p.9] OpenEXR maintainers confirmed the issue and backported the fix to all affected releases.</x:v>
      </x:c>
      <x:c r="L86" s="16" t="str">
        <x:v>A source-linked excerpt and locator are supplied as review leads; the cited source and locator should be retained for auditability.</x:v>
      </x:c>
      <x:c r="M86" s="16" t="str">
        <x:v>Code separately from principal output. Only item-level alignment between a concrete system result and a specific public external record qualifies as publicly aligned external trace.</x:v>
      </x:c>
      <x:c r="N86" s="16" t="str">
        <x:v>author-reported external clue</x:v>
      </x:c>
      <x:c r="O86" s="16" t="str">
        <x:v>The cited source supports the selected label author-reported external clue under the codebook's item-level public-record alignment criterion.</x:v>
      </x:c>
      <x:c r="P86" s="16" t="str">
        <x:v>https://arxiv.org/abs/2606.22263 | Paper pp. 1–6 (architecture), pp. 6–11 (evaluation), especially pp. 8–9 (finding table and CVE case study). | excerpt pages 8, 9</x:v>
      </x:c>
      <x:c r="Q86" s="16" t="str">
        <x:v>no</x:v>
      </x:c>
      <x:c r="R86" s="11" t="str"/>
      <x:c r="S86" s="11" t="str">
        <x:v>2026-08-12</x:v>
      </x:c>
      <x:c r="T86" s="18" t="str">
        <x:f>IF(OR(AND(N86="unresolved",LEN(O86)&gt;0,LEN(P86)&gt;0,Q86="yes"),AND(LEN(N86)&gt;0,LEN(O86)&gt;0,LEN(P86)&gt;0,OR(Q86="yes",Q86="no"))),"ready","pending")</x:f>
        <x:v>ready</x:v>
      </x:c>
    </x:row>
    <x:row r="87" ht="44" customHeight="1">
      <x:c r="A87" s="10" t="str">
        <x:v>U03__primary_shape</x:v>
      </x:c>
      <x:c r="B87" s="11" t="str">
        <x:v>U03</x:v>
      </x:c>
      <x:c r="C87" s="11" t="str">
        <x:v>released_67</x:v>
      </x:c>
      <x:c r="D87" s="11" t="str">
        <x:v>OpenAnt: LLM-Powered Vulnerability Discovery Through Code Decomposition, Adversarial Verification, and Dynamic Testing</x:v>
      </x:c>
      <x:c r="E87" s="11" t="str">
        <x:v>primary system shape</x:v>
      </x:c>
      <x:c r="F87" s="11" t="str">
        <x:v>single-label</x:v>
      </x:c>
      <x:c r="G87" s="11" t="str">
        <x:v>reproduction-, validation-, and repair-centered agent</x:v>
      </x:c>
      <x:c r="H87" s="11" t="str">
        <x:v>candidate-analysis system</x:v>
      </x:c>
      <x:c r="I87" s="11" t="str">
        <x:v>source-linked lead</x:v>
      </x:c>
      <x:c r="J87" s="11" t="str">
        <x:v>https://arxiv.org/abs/2606.19149 | Paper pp. 1–6 (architecture and dynamic verification), pp. 6–10 (evaluation/results), and pp. 13–14 (limitations/conclusion). | excerpt pages 8, 1</x:v>
      </x:c>
      <x:c r="K87" s="11" t="str">
        <x:v>[p.8] Terminology.Throughout this section we use the following terminology: Term Definition Flagged Unit identified as potentially vulnerable in Stage 4 Confirmed Finding surviving adversarial verification (Stage 5) Dynamically verified Finding reproduced through automated exploit generation (Stage 6) 4.2 Key Evaluation Results Across eight real-world repositories comprising 64,132 functions, OpenAnt progressively reduced the analysis surface to a small set of security-relevant candidates and produced reproducible exploit evidence for a substantial fraction of findings. [p.1] In particular, large-scale evaluations of static analysis tools applied to real-world codebases report substantial variability in detection precision across tools and datasets.</x:v>
      </x:c>
      <x:c r="L87" s="16" t="str">
        <x:v>A source-linked excerpt and locator are supplied as review leads; the cited source and locator should be retained for auditability.</x:v>
      </x:c>
      <x:c r="M87" s="16" t="str">
        <x:v>Choose the dominant locus and objective of agent control in the main evaluated contribution. Use the evaluation task and primary metrics to resolve ties; do not infer from agent count or system name.</x:v>
      </x:c>
      <x:c r="N87" s="16" t="str">
        <x:v>reproduction-, validation-, and repair-centered agent</x:v>
      </x:c>
      <x:c r="O87" s="16" t="str">
        <x:v>The cited source supports the selected label reproduction-, validation-, and repair-centered agent as the dominant evaluated locus and objective of agent control.</x:v>
      </x:c>
      <x:c r="P87" s="16" t="str">
        <x:v>https://arxiv.org/abs/2606.19149 | Paper pp. 1–6 (architecture and dynamic verification), pp. 6–10 (evaluation/results), and pp. 13–14 (limitations/conclusion). | excerpt pages 8, 1</x:v>
      </x:c>
      <x:c r="Q87" s="16" t="str">
        <x:v>no</x:v>
      </x:c>
      <x:c r="R87" s="11" t="str"/>
      <x:c r="S87" s="11" t="str">
        <x:v>2026-08-12</x:v>
      </x:c>
      <x:c r="T87" s="18" t="str">
        <x:f>IF(OR(AND(N87="unresolved",LEN(O87)&gt;0,LEN(P87)&gt;0,Q87="yes"),AND(LEN(N87)&gt;0,LEN(O87)&gt;0,LEN(P87)&gt;0,OR(Q87="yes",Q87="no"))),"ready","pending")</x:f>
        <x:v>ready</x:v>
      </x:c>
    </x:row>
    <x:row r="88" ht="44" customHeight="1">
      <x:c r="A88" s="10" t="str">
        <x:v>U03__principal_evidence</x:v>
      </x:c>
      <x:c r="B88" s="11" t="str">
        <x:v>U03</x:v>
      </x:c>
      <x:c r="C88" s="11" t="str">
        <x:v>released_67</x:v>
      </x:c>
      <x:c r="D88" s="11" t="str">
        <x:v>OpenAnt: LLM-Powered Vulnerability Discovery Through Code Decomposition, Adversarial Verification, and Dynamic Testing</x:v>
      </x:c>
      <x:c r="E88" s="11" t="str">
        <x:v>principal reported evidence output</x:v>
      </x:c>
      <x:c r="F88" s="11" t="str">
        <x:v>single-label</x:v>
      </x:c>
      <x:c r="G88" s="11" t="str">
        <x:v>runtime safety signal</x:v>
      </x:c>
      <x:c r="H88" s="11" t="str">
        <x:v>reproducible validation</x:v>
      </x:c>
      <x:c r="I88" s="11" t="str">
        <x:v>source-linked lead</x:v>
      </x:c>
      <x:c r="J88" s="11" t="str">
        <x:v>https://arxiv.org/abs/2606.19149 | Paper pp. 1–6 (architecture and dynamic verification), pp. 6–10 (evaluation/results), and pp. 13–14 (limitations/conclusion). | excerpt pages 13, 1</x:v>
      </x:c>
      <x:c r="K88" s="11" t="str">
        <x:v>[p.13] Certain vulnerabilities require complex runtime envi- ronments, external infrastructure, or precise timing conditions that are difficult to reproduce automatically in isolated containers. [p.1] Our results suggest that closed-loop vulnerability discovery pipelines, combining semantic reasoning with exploit validation, provide a practical path toward scalable automated security analysis.</x:v>
      </x:c>
      <x:c r="L88" s="16" t="str">
        <x:v>A source-linked excerpt and locator are supplied as review leads; the cited source and locator should be retained for auditability.</x:v>
      </x:c>
      <x:c r="M88" s="16" t="str">
        <x:v>Select the observable result most directly supporting the main finding. Benchmark ground truth or aggregate CVE counts do not automatically establish externally traceable material.</x:v>
      </x:c>
      <x:c r="N88" s="16" t="str">
        <x:v>runtime safety signal</x:v>
      </x:c>
      <x:c r="O88" s="16" t="str">
        <x:v>The cited source supports the selected label runtime safety signal as the main observable result reported for the study.</x:v>
      </x:c>
      <x:c r="P88" s="16" t="str">
        <x:v>https://arxiv.org/abs/2606.19149 | Paper pp. 1–6 (architecture and dynamic verification), pp. 6–10 (evaluation/results), and pp. 13–14 (limitations/conclusion). | excerpt pages 13, 1</x:v>
      </x:c>
      <x:c r="Q88" s="16" t="str">
        <x:v>no</x:v>
      </x:c>
      <x:c r="R88" s="11" t="str"/>
      <x:c r="S88" s="11" t="str">
        <x:v>2026-08-12</x:v>
      </x:c>
      <x:c r="T88" s="18" t="str">
        <x:f>IF(OR(AND(N88="unresolved",LEN(O88)&gt;0,LEN(P88)&gt;0,Q88="yes"),AND(LEN(N88)&gt;0,LEN(O88)&gt;0,LEN(P88)&gt;0,OR(Q88="yes",Q88="no"))),"ready","pending")</x:f>
        <x:v>ready</x:v>
      </x:c>
    </x:row>
    <x:row r="89" ht="44" customHeight="1">
      <x:c r="A89" s="10" t="str">
        <x:v>U03__external_traceability</x:v>
      </x:c>
      <x:c r="B89" s="11" t="str">
        <x:v>U03</x:v>
      </x:c>
      <x:c r="C89" s="11" t="str">
        <x:v>released_67</x:v>
      </x:c>
      <x:c r="D89" s="11" t="str">
        <x:v>OpenAnt: LLM-Powered Vulnerability Discovery Through Code Decomposition, Adversarial Verification, and Dynamic Testing</x:v>
      </x:c>
      <x:c r="E89" s="11" t="str">
        <x:v>external traceability</x:v>
      </x:c>
      <x:c r="F89" s="11" t="str">
        <x:v>single-label</x:v>
      </x:c>
      <x:c r="G89" s="11" t="str">
        <x:v>author-reported external clue</x:v>
      </x:c>
      <x:c r="H89" s="11" t="str">
        <x:v>no external trace reported</x:v>
      </x:c>
      <x:c r="I89" s="11" t="str">
        <x:v>source-linked lead</x:v>
      </x:c>
      <x:c r="J89" s="11" t="str">
        <x:v>https://arxiv.org/abs/2606.19149 | Paper pp. 1–6 (architecture and dynamic verification), pp. 6–10 (evaluation/results), and pp. 13–14 (limitations/conclusion). | excerpt pages 6, 8</x:v>
      </x:c>
      <x:c r="K89" s="11" t="str">
        <x:v>[p.6] Benchmarks such as Juliet, OWASP Benchmark, and many publicly reproduced CVE examples are openly available and therefore likely to appear in the training data of modern code-oriented LLMs [14]. [p.8] Presence of externally reachable attack surface, such as HTTP endpoints, API handlers, or public interfaces.</x:v>
      </x:c>
      <x:c r="L89" s="16" t="str">
        <x:v>A source-linked excerpt and locator are supplied as review leads; the cited source and locator should be retained for auditability.</x:v>
      </x:c>
      <x:c r="M89" s="16" t="str">
        <x:v>Code separately from principal output. Only item-level alignment between a concrete system result and a specific public external record qualifies as publicly aligned external trace.</x:v>
      </x:c>
      <x:c r="N89" s="16" t="str">
        <x:v>author-reported external clue</x:v>
      </x:c>
      <x:c r="O89" s="16" t="str">
        <x:v>The cited source supports the selected label author-reported external clue under the codebook's item-level public-record alignment criterion.</x:v>
      </x:c>
      <x:c r="P89" s="16" t="str">
        <x:v>https://arxiv.org/abs/2606.19149 | Paper pp. 1–6 (architecture and dynamic verification), pp. 6–10 (evaluation/results), and pp. 13–14 (limitations/conclusion). | excerpt pages 6, 8</x:v>
      </x:c>
      <x:c r="Q89" s="16" t="str">
        <x:v>no</x:v>
      </x:c>
      <x:c r="R89" s="11" t="str"/>
      <x:c r="S89" s="11" t="str">
        <x:v>2026-08-12</x:v>
      </x:c>
      <x:c r="T89" s="18" t="str">
        <x:f>IF(OR(AND(N89="unresolved",LEN(O89)&gt;0,LEN(P89)&gt;0,Q89="yes"),AND(LEN(N89)&gt;0,LEN(O89)&gt;0,LEN(P89)&gt;0,OR(Q89="yes",Q89="no"))),"ready","pending")</x:f>
        <x:v>ready</x:v>
      </x:c>
    </x:row>
    <x:row r="90" ht="44" customHeight="1">
      <x:c r="A90" s="10" t="str">
        <x:v>U04__capability</x:v>
      </x:c>
      <x:c r="B90" s="11" t="str">
        <x:v>U04</x:v>
      </x:c>
      <x:c r="C90" s="11" t="str">
        <x:v>released_67</x:v>
      </x:c>
      <x:c r="D90" s="11" t="str">
        <x:v>Code-Augur: Agentic Vulnerability Detection via Specification Inference</x:v>
      </x:c>
      <x:c r="E90" s="11" t="str">
        <x:v>cross-stage capability</x:v>
      </x:c>
      <x:c r="F90" s="11" t="str">
        <x:v>multi-label</x:v>
      </x:c>
      <x:c r="G90" s="11" t="str">
        <x:v>context aggregation / rule extraction;failure reuse / strategy update;feedback interpretation / loop adjustment;validation organization / evidence packaging</x:v>
      </x:c>
      <x:c r="H90" s="11" t="str">
        <x:v>context aggregation / rule extraction;feedback interpretation / loop adjustment;tool routing / strategy routing;validation organization / evidence packaging</x:v>
      </x:c>
      <x:c r="I90" s="11" t="str">
        <x:v>source-linked lead</x:v>
      </x:c>
      <x:c r="J90" s="11" t="str">
        <x:v>https://arxiv.org/abs/2606.18619 | Paper pp. 1–8 (specification-first design and runtime falsification), pp. 8–12 (evaluation and public CVE mappings). | excerpt pages 10</x:v>
      </x:c>
      <x:c r="K90" s="11" t="str">
        <x:v>[p.10] BUG-FINDINGRESULTS ON THEOSV BENCHMARK FOR DIFFERENT TOOLS WITH DIFFERENT BACKING MODELS(“–”INDICATES THE TOOL FAILED TO RUN ON THE GIVEN PROJECT) Project Commit CODE-AUGUR ATLANTIS CLAUDECODE Claude DeepSeek Claude DeepSeek Claude DeepSeek Existing New Existing New Existing New Existing New Existing New Existing New apache-poi eafd6c0 0/2 1 0/2 0 0/2 0 0/2 0 0/2 0 0/2 0 assimp 21607df 0/1 4 0/1 11 1/1 19 0/1 2 0/1 24 0/1 7 gpsd 4f56109 1/1 3 1/1 7 1/1 0 1/1 0 1/1 0 1/1 0 gpsd d700650 0/3 11 1/3 7 0/3 0 0/3 0 0/3 0 0/3 0 gpsd 50153e3 0/4 11 0/4 3 0/4 0 0/4 0 0/4 0 0/4 1 gpsd 1c9dd87 1/3 12 1/3 5 1/3 0 1/3 0 2/3 0 1/3 0 pjsip 2b7c8b5 1/1 0 1/1 1 0/1 0 0/1 0 1/1 0 1/1 0 libhevc 6763519 0/1 0 0</x:v>
      </x:c>
      <x:c r="L90" s="16" t="str">
        <x:v>A source-linked excerpt and locator are supplied as review leads; the cited source and locator should be retained for auditability.</x:v>
      </x:c>
      <x:c r="M90" s="16" t="str">
        <x:v>Require an explicit cross-stage connection. Information must guide later action; feedback must alter later action; packaging must assemble prior outputs; governance must enforce an actual gate.</x:v>
      </x:c>
      <x:c r="N90" s="16" t="str">
        <x:v>context aggregation / rule extraction;feedback interpretation / loop adjustment;validation organization / evidence packaging;failure reuse / strategy update</x:v>
      </x:c>
      <x:c r="O90" s="16" t="str">
        <x:v>The cited source supports the selected label context aggregation / rule extraction;feedback interpretation / loop adjustment;validation organization / evidence packaging;failure reuse / strategy update; each retained label requires an explicit connection that guides later action, feedback, packaging, or a gate.</x:v>
      </x:c>
      <x:c r="P90" s="16" t="str">
        <x:v>https://arxiv.org/abs/2606.18619 | Paper pp. 1–8 (specification-first design and runtime falsification), pp. 8–12 (evaluation and public CVE mappings). | excerpt pages 10</x:v>
      </x:c>
      <x:c r="Q90" s="16" t="str">
        <x:v>no</x:v>
      </x:c>
      <x:c r="R90" s="11" t="str"/>
      <x:c r="S90" s="11" t="str">
        <x:v>2026-08-12</x:v>
      </x:c>
      <x:c r="T90" s="18" t="str">
        <x:f>IF(OR(AND(N90="unresolved",LEN(O90)&gt;0,LEN(P90)&gt;0,Q90="yes"),AND(LEN(N90)&gt;0,LEN(O90)&gt;0,LEN(P90)&gt;0,OR(Q90="yes",Q90="no"))),"ready","pending")</x:f>
        <x:v>ready</x:v>
      </x:c>
    </x:row>
    <x:row r="91" ht="44" customHeight="1">
      <x:c r="A91" s="10" t="str">
        <x:v>U04__principal_evidence</x:v>
      </x:c>
      <x:c r="B91" s="11" t="str">
        <x:v>U04</x:v>
      </x:c>
      <x:c r="C91" s="11" t="str">
        <x:v>released_67</x:v>
      </x:c>
      <x:c r="D91" s="11" t="str">
        <x:v>Code-Augur: Agentic Vulnerability Detection via Specification Inference</x:v>
      </x:c>
      <x:c r="E91" s="11" t="str">
        <x:v>principal reported evidence output</x:v>
      </x:c>
      <x:c r="F91" s="11" t="str">
        <x:v>single-label</x:v>
      </x:c>
      <x:c r="G91" s="11" t="str">
        <x:v>externally traceable material</x:v>
      </x:c>
      <x:c r="H91" s="11" t="str">
        <x:v>reproducible validation</x:v>
      </x:c>
      <x:c r="I91" s="11" t="str">
        <x:v>source-linked lead</x:v>
      </x:c>
      <x:c r="J91" s="11" t="str">
        <x:v>https://arxiv.org/abs/2606.18619 | Paper pp. 1–8 (specification-first design and runtime falsification), pp. 8–12 (evaluation and public CVE mappings). | excerpt pages 8</x:v>
      </x:c>
      <x:c r="K91" s="11" t="str">
        <x:v>[p.8] We use OSV rather than the more widely used CVE database because each OSV record ties a vulnerability to its introducing and fixing commits and to a public PoV with the disclosed crash information— the per-bug provenance a reproducible benchmark needs but CVE rarely provides. [p.8] Of the45vul- nerabilities disclosed in this window, only29provided a public PoV at the time of collection, of which24 reproduce reliably—yielding24confirmed bugs across 9projects spanning C, C++, Java, and Rust.</x:v>
      </x:c>
      <x:c r="L91" s="16" t="str">
        <x:v>A source-linked excerpt and locator are supplied as review leads; the cited source and locator should be retained for auditability.</x:v>
      </x:c>
      <x:c r="M91" s="16" t="str">
        <x:v>Select the observable result most directly supporting the main finding. Benchmark ground truth or aggregate CVE counts do not automatically establish externally traceable material.</x:v>
      </x:c>
      <x:c r="N91" s="16" t="str">
        <x:v>externally traceable material</x:v>
      </x:c>
      <x:c r="O91" s="16" t="str">
        <x:v>The cited source supports the selected label externally traceable material as the main observable result reported for the study.</x:v>
      </x:c>
      <x:c r="P91" s="16" t="str">
        <x:v>https://arxiv.org/abs/2606.18619 | Paper pp. 1–8 (specification-first design and runtime falsification), pp. 8–12 (evaluation and public CVE mappings). | excerpt pages 8</x:v>
      </x:c>
      <x:c r="Q91" s="16" t="str">
        <x:v>no</x:v>
      </x:c>
      <x:c r="R91" s="11" t="str"/>
      <x:c r="S91" s="11" t="str">
        <x:v>2026-08-12</x:v>
      </x:c>
      <x:c r="T91" s="18" t="str">
        <x:f>IF(OR(AND(N91="unresolved",LEN(O91)&gt;0,LEN(P91)&gt;0,Q91="yes"),AND(LEN(N91)&gt;0,LEN(O91)&gt;0,LEN(P91)&gt;0,OR(Q91="yes",Q91="no"))),"ready","pending")</x:f>
        <x:v>ready</x:v>
      </x:c>
    </x:row>
    <x:row r="92" ht="44" customHeight="1">
      <x:c r="A92" s="10" t="str">
        <x:v>U05__lifecycle</x:v>
      </x:c>
      <x:c r="B92" s="11" t="str">
        <x:v>U05</x:v>
      </x:c>
      <x:c r="C92" s="11" t="str">
        <x:v>released_67</x:v>
      </x:c>
      <x:c r="D92" s="11" t="str">
        <x:v>Transferable Self-Evolving Playbooks for Agentic Security Auditing</x:v>
      </x:c>
      <x:c r="E92" s="11" t="str">
        <x:v>lifecycle coverage</x:v>
      </x:c>
      <x:c r="F92" s="11" t="str">
        <x:v>multi-label</x:v>
      </x:c>
      <x:c r="G92" s="11" t="str">
        <x:v>candidate analysis;reporting and audit</x:v>
      </x:c>
      <x:c r="H92" s="11" t="str">
        <x:v>candidate analysis;execution observation;path and input exploration;reporting and audit;reproduction and validation</x:v>
      </x:c>
      <x:c r="I92" s="11" t="str">
        <x:v>source-linked lead</x:v>
      </x:c>
      <x:c r="J92" s="11" t="str">
        <x:v>https://arxiv.org/abs/2606.16420 | Paper pp. 1–7 (EvoHunt/playbook loop), pp. 7–13 (experiments/discussion), and p. 15 (published GHSA/CVE mappings). | excerpt pages 8</x:v>
      </x:c>
      <x:c r="K92" s="11" t="str">
        <x:v>[p.8] The key distinction is whether the security impact itself was observed (T1), or only the vulnerable execution path was triggered without reaching full impact (T2), or no runtime evidence was available at all (T3): •T1—End-to-end exploit success.Runtime evidence demonstrates the full security consequence (e.g., unau- thorized read or write, command execution, authentication bypass, path traversal, or SSRF). •T2—Bug activation with runnable PoC.Runnable ev- idence shows the vulnerable logic was reached but the security impact was not observed (e.g., attacker-controlled input reaching the vulnerable sink, or an unsafe deserial- ization call invoked without achieving code execution). •T3—Specula</x:v>
      </x:c>
      <x:c r="L92" s="16" t="str">
        <x:v>A source-linked excerpt and locator are supplied as review leads; the cited source and locator should be retained for auditability.</x:v>
      </x:c>
      <x:c r="M92" s="16" t="str">
        <x:v>Mark only observable lifecycle actions or outputs. Reporting and audit requires explicit packaging, routing, disclosure, or audit transition; a report name alone is insufficient.</x:v>
      </x:c>
      <x:c r="N92" s="16" t="str">
        <x:v>candidate analysis;reporting and audit</x:v>
      </x:c>
      <x:c r="O92" s="16" t="str">
        <x:v>The cited source supports the selected label candidate analysis;reporting and audit; only observable workflow actions or outputs were retained.</x:v>
      </x:c>
      <x:c r="P92" s="16" t="str">
        <x:v>https://arxiv.org/abs/2606.16420 | Paper pp. 1–7 (EvoHunt/playbook loop), pp. 7–13 (experiments/discussion), and p. 15 (published GHSA/CVE mappings). | excerpt pages 8</x:v>
      </x:c>
      <x:c r="Q92" s="16" t="str">
        <x:v>no</x:v>
      </x:c>
      <x:c r="R92" s="11" t="str"/>
      <x:c r="S92" s="11" t="str">
        <x:v>2026-08-12</x:v>
      </x:c>
      <x:c r="T92" s="18" t="str">
        <x:f>IF(OR(AND(N92="unresolved",LEN(O92)&gt;0,LEN(P92)&gt;0,Q92="yes"),AND(LEN(N92)&gt;0,LEN(O92)&gt;0,LEN(P92)&gt;0,OR(Q92="yes",Q92="no"))),"ready","pending")</x:f>
        <x:v>ready</x:v>
      </x:c>
    </x:row>
    <x:row r="93" ht="44" customHeight="1">
      <x:c r="A93" s="10" t="str">
        <x:v>U05__capability</x:v>
      </x:c>
      <x:c r="B93" s="11" t="str">
        <x:v>U05</x:v>
      </x:c>
      <x:c r="C93" s="11" t="str">
        <x:v>released_67</x:v>
      </x:c>
      <x:c r="D93" s="11" t="str">
        <x:v>Transferable Self-Evolving Playbooks for Agentic Security Auditing</x:v>
      </x:c>
      <x:c r="E93" s="11" t="str">
        <x:v>cross-stage capability</x:v>
      </x:c>
      <x:c r="F93" s="11" t="str">
        <x:v>multi-label</x:v>
      </x:c>
      <x:c r="G93" s="11" t="str">
        <x:v>failure reuse / strategy update;feedback interpretation / loop adjustment;long-horizon state management;tool routing / strategy routing;validation organization / evidence packaging</x:v>
      </x:c>
      <x:c r="H93" s="11" t="str">
        <x:v>context aggregation / rule extraction;failure reuse / strategy update;feedback interpretation / loop adjustment;long-horizon state management;tool routing / strategy routing;validation organization / evidence packaging</x:v>
      </x:c>
      <x:c r="I93" s="11" t="str">
        <x:v>source-linked lead</x:v>
      </x:c>
      <x:c r="J93" s="11" t="str">
        <x:v>https://arxiv.org/abs/2606.16420 | Paper pp. 1–7 (EvoHunt/playbook loop), pp. 7–13 (experiments/discussion), and p. 15 (published GHSA/CVE mappings). | excerpt pages 1, 10</x:v>
      </x:c>
      <x:c r="K93" s="11" t="str">
        <x:v>[p.1] It combines three components: (i) an underlying LLM for code analysis, (ii) a general-purpose agent harness, such as Codex or OpenCode, for repository nav- igation, tool use, context, and long-horizon execution, and (iii) an audit “playbook”, domain-specific procedural knowledge that guides the LLM and harness toward effective vulnerability discovery. [p.10] What is learned is procedural security knowledge: rules for allocating audit attention, keeping competing hypotheses live, rejecting real but off-target findings, and demanding runtime evidence be- fore finalization.</x:v>
      </x:c>
      <x:c r="L93" s="16" t="str">
        <x:v>A source-linked excerpt and locator are supplied as review leads; the cited source and locator should be retained for auditability.</x:v>
      </x:c>
      <x:c r="M93" s="16" t="str">
        <x:v>Require an explicit cross-stage connection. Information must guide later action; feedback must alter later action; packaging must assemble prior outputs; governance must enforce an actual gate.</x:v>
      </x:c>
      <x:c r="N93" s="16" t="str">
        <x:v>tool routing / strategy routing;feedback interpretation / loop adjustment;validation organization / evidence packaging;long-horizon state management;failure reuse / strategy update</x:v>
      </x:c>
      <x:c r="O93" s="16" t="str">
        <x:v>The cited source supports the selected label 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93" s="16" t="str">
        <x:v>https://arxiv.org/abs/2606.16420 | Paper pp. 1–7 (EvoHunt/playbook loop), pp. 7–13 (experiments/discussion), and p. 15 (published GHSA/CVE mappings). | excerpt pages 1, 10</x:v>
      </x:c>
      <x:c r="Q93" s="16" t="str">
        <x:v>no</x:v>
      </x:c>
      <x:c r="R93" s="11" t="str"/>
      <x:c r="S93" s="11" t="str">
        <x:v>2026-08-12</x:v>
      </x:c>
      <x:c r="T93" s="18" t="str">
        <x:f>IF(OR(AND(N93="unresolved",LEN(O93)&gt;0,LEN(P93)&gt;0,Q93="yes"),AND(LEN(N93)&gt;0,LEN(O93)&gt;0,LEN(P93)&gt;0,OR(Q93="yes",Q93="no"))),"ready","pending")</x:f>
        <x:v>ready</x:v>
      </x:c>
    </x:row>
    <x:row r="94" ht="44" customHeight="1">
      <x:c r="A94" s="10" t="str">
        <x:v>U05__principal_evidence</x:v>
      </x:c>
      <x:c r="B94" s="11" t="str">
        <x:v>U05</x:v>
      </x:c>
      <x:c r="C94" s="11" t="str">
        <x:v>released_67</x:v>
      </x:c>
      <x:c r="D94" s="11" t="str">
        <x:v>Transferable Self-Evolving Playbooks for Agentic Security Auditing</x:v>
      </x:c>
      <x:c r="E94" s="11" t="str">
        <x:v>principal reported evidence output</x:v>
      </x:c>
      <x:c r="F94" s="11" t="str">
        <x:v>single-label</x:v>
      </x:c>
      <x:c r="G94" s="11" t="str">
        <x:v>controlled task completion</x:v>
      </x:c>
      <x:c r="H94" s="11" t="str">
        <x:v>externally traceable material</x:v>
      </x:c>
      <x:c r="I94" s="11" t="str">
        <x:v>source-linked lead</x:v>
      </x:c>
      <x:c r="J94" s="11" t="str">
        <x:v>https://arxiv.org/abs/2606.16420 | Paper pp. 1–7 (EvoHunt/playbook loop), pp. 7–13 (experiments/discussion), and p. 15 (published GHSA/CVE mappings). | excerpt pages 2, 1</x:v>
      </x:c>
      <x:c r="K94" s="11" t="str">
        <x:v>[p.2] In RQ2, GLM-teacher transfer improves both Qwen students: 2.4%→6.5% (2.7×) for Qwen3.6-27B and 1.1%→4.6% (4×) for Qwen3.6-35B-A3B. •Vulnerability disclosures.EVOHUNThas produced 28 confirmed vulnerability disclosures across 18 open-source projects, acknowledged via GitHub Security Advisories, CVEs, and a $1,500 bug bounty award (cf. [p.1] This shift is visi- ble across recent security research: benchmarks test agents in exploit reproduction and cyber task environments [1]– [3]; specialized agents pair LLMs with scanners, browsers, fuzzers, or program analysis tools for penetration testing, mobile and web analysis, protocol testing, and firmware auditing [4]–[8]; and repository-level systems study vul- nerability detection as code auditing with program context, validation, memory, or multiple agent reasoning [9]–[12].</x:v>
      </x:c>
      <x:c r="L94" s="16" t="str">
        <x:v>A source-linked excerpt and locator are supplied as review leads; the cited source and locator should be retained for auditability.</x:v>
      </x:c>
      <x:c r="M94" s="16" t="str">
        <x:v>Select the observable result most directly supporting the main finding. Benchmark ground truth or aggregate CVE counts do not automatically establish externally traceable material.</x:v>
      </x:c>
      <x:c r="N94" s="16" t="str">
        <x:v>controlled task completion</x:v>
      </x:c>
      <x:c r="O94" s="16" t="str">
        <x:v>The cited source supports the selected label controlled task completion as the main observable result reported for the study.</x:v>
      </x:c>
      <x:c r="P94" s="16" t="str">
        <x:v>https://arxiv.org/abs/2606.16420 | Paper pp. 1–7 (EvoHunt/playbook loop), pp. 7–13 (experiments/discussion), and p. 15 (published GHSA/CVE mappings). | excerpt pages 2, 1</x:v>
      </x:c>
      <x:c r="Q94" s="16" t="str">
        <x:v>no</x:v>
      </x:c>
      <x:c r="R94" s="11" t="str"/>
      <x:c r="S94" s="11" t="str">
        <x:v>2026-08-12</x:v>
      </x:c>
      <x:c r="T94" s="18" t="str">
        <x:f>IF(OR(AND(N94="unresolved",LEN(O94)&gt;0,LEN(P94)&gt;0,Q94="yes"),AND(LEN(N94)&gt;0,LEN(O94)&gt;0,LEN(P94)&gt;0,OR(Q94="yes",Q94="no"))),"ready","pending")</x:f>
        <x:v>ready</x:v>
      </x:c>
    </x:row>
    <x:row r="95" ht="44" customHeight="1">
      <x:c r="A95" s="10" t="str">
        <x:v>U05__external_traceability</x:v>
      </x:c>
      <x:c r="B95" s="11" t="str">
        <x:v>U05</x:v>
      </x:c>
      <x:c r="C95" s="11" t="str">
        <x:v>released_67</x:v>
      </x:c>
      <x:c r="D95" s="11" t="str">
        <x:v>Transferable Self-Evolving Playbooks for Agentic Security Auditing</x:v>
      </x:c>
      <x:c r="E95" s="11" t="str">
        <x:v>external traceability</x:v>
      </x:c>
      <x:c r="F95" s="11" t="str">
        <x:v>single-label</x:v>
      </x:c>
      <x:c r="G95" s="11" t="str">
        <x:v>benchmark ground truth / public material</x:v>
      </x:c>
      <x:c r="H95" s="11" t="str">
        <x:v>publicly aligned external trace</x:v>
      </x:c>
      <x:c r="I95" s="11" t="str">
        <x:v>source-linked lead</x:v>
      </x:c>
      <x:c r="J95" s="11" t="str">
        <x:v>https://arxiv.org/abs/2606.16420 | Paper pp. 1–7 (EvoHunt/playbook loop), pp. 7–13 (experiments/discussion), and p. 15 (published GHSA/CVE mappings). | excerpt pages 2, 12</x:v>
      </x:c>
      <x:c r="K95" s="11" t="str">
        <x:v>[p.2] In RQ2, GLM-teacher transfer improves both Qwen students: 2.4%→6.5% (2.7×) for Qwen3.6-27B and 1.1%→4.6% (4×) for Qwen3.6-35B-A3B. •Vulnerability disclosures.EVOHUNThas produced 28 confirmed vulnerability disclosures across 18 open-source projects, acknowledged via GitHub Security Advisories, CVEs, and a $1,500 bug bounty award (cf. [p.12] A concrete example: in GHSA-g7j6- fmwx-7vp8, a run failed to recover the benchmark target but discovered a GraphQL asset-upload SSRF that matches the later-confirmed advisory GHSA-3m9m-24vh-39wx, a case outside the benchmark due to the dataset cutoff date.</x:v>
      </x:c>
      <x:c r="L95" s="16" t="str">
        <x:v>A source-linked excerpt and locator are supplied as review leads; the cited source and locator should be retained for auditability.</x:v>
      </x:c>
      <x:c r="M95" s="16" t="str">
        <x:v>Code separately from principal output. Only item-level alignment between a concrete system result and a specific public external record qualifies as publicly aligned external trace.</x:v>
      </x:c>
      <x:c r="N95" s="16" t="str">
        <x:v>benchmark ground truth / public material</x:v>
      </x:c>
      <x:c r="O95" s="16" t="str">
        <x:v>The cited source supports the selected label benchmark ground truth / public material under the codebook's item-level public-record alignment criterion.</x:v>
      </x:c>
      <x:c r="P95" s="16" t="str">
        <x:v>https://arxiv.org/abs/2606.16420 | Paper pp. 1–7 (EvoHunt/playbook loop), pp. 7–13 (experiments/discussion), and p. 15 (published GHSA/CVE mappings). | excerpt pages 2, 12</x:v>
      </x:c>
      <x:c r="Q95" s="16" t="str">
        <x:v>no</x:v>
      </x:c>
      <x:c r="R95" s="11" t="str"/>
      <x:c r="S95" s="11" t="str">
        <x:v>2026-08-12</x:v>
      </x:c>
      <x:c r="T95" s="18" t="str">
        <x:f>IF(OR(AND(N95="unresolved",LEN(O95)&gt;0,LEN(P95)&gt;0,Q95="yes"),AND(LEN(N95)&gt;0,LEN(O95)&gt;0,LEN(P95)&gt;0,OR(Q95="yes",Q95="no"))),"ready","pending")</x:f>
        <x:v>ready</x:v>
      </x:c>
    </x:row>
    <x:row r="96" ht="44" customHeight="1">
      <x:c r="A96" s="10" t="str">
        <x:v>U06__capability</x:v>
      </x:c>
      <x:c r="B96" s="11" t="str">
        <x:v>U06</x:v>
      </x:c>
      <x:c r="C96" s="11" t="str">
        <x:v>released_67</x:v>
      </x:c>
      <x:c r="D96" s="11" t="str">
        <x:v>DIG: Oracle-Guided Directed Input Generation for One-Day Vulnerabilities</x:v>
      </x:c>
      <x:c r="E96" s="11" t="str">
        <x:v>cross-stage capability</x:v>
      </x:c>
      <x:c r="F96" s="11" t="str">
        <x:v>multi-label</x:v>
      </x:c>
      <x:c r="G96" s="11" t="str">
        <x:v>context aggregation / rule extraction;feedback interpretation / loop adjustment;long-horizon state management;tool routing / strategy routing;validation organization / evidence packaging</x:v>
      </x:c>
      <x:c r="H96" s="11" t="str">
        <x:v>context aggregation / rule extraction;failure reuse / strategy update;feedback interpretation / loop adjustment;tool routing / strategy routing;validation organization / evidence packaging</x:v>
      </x:c>
      <x:c r="I96" s="11" t="str">
        <x:v>source-linked lead</x:v>
      </x:c>
      <x:c r="J96" s="11" t="str">
        <x:v>https://arxiv.org/abs/2606.13037 | Paper pp. 1–8 (oracle-guided design), pp. 8–13 (Magma CVE evaluation and new-finding study), and pp. 13–14 (limitations/disclosure). | excerpt pages 4, 12</x:v>
      </x:c>
      <x:c r="K96" s="11" t="str">
        <x:v>[p.4] We found that the agent failed to in- fer the hidden state relationship between two variables: how scanline and imagewidth are computed, and how tiled mode decouples them. [p.12] These failures suggest that generator evolution alone may leave the oracle un- satisfied when triggering depends on hidden state relationships or hard-to-infer runtime constraints.</x:v>
      </x:c>
      <x:c r="L96" s="16" t="str">
        <x:v>A source-linked excerpt and locator are supplied as review leads; the cited source and locator should be retained for auditability.</x:v>
      </x:c>
      <x:c r="M96" s="16" t="str">
        <x:v>Require an explicit cross-stage connection. Information must guide later action; feedback must alter later action; packaging must assemble prior outputs; governance must enforce an actual gate.</x:v>
      </x:c>
      <x:c r="N96" s="16" t="str">
        <x:v>context aggregation / rule extraction;tool routing / strategy routing;feedback interpretation / loop adjustment;validation organization / evidence packaging;long-horizon state management</x:v>
      </x:c>
      <x:c r="O96" s="16" t="str">
        <x:v>The cited source supports the selected label context aggregation / rule extraction;tool routing / strategy routing;feedback interpretation / loop adjustment;validation organization / evidence packaging;long-horizon state management; each retained label requires an explicit connection that guides later action, feedback, packaging, or a gate.</x:v>
      </x:c>
      <x:c r="P96" s="16" t="str">
        <x:v>https://arxiv.org/abs/2606.13037 | Paper pp. 1–8 (oracle-guided design), pp. 8–13 (Magma CVE evaluation and new-finding study), and pp. 13–14 (limitations/disclosure). | excerpt pages 4, 12</x:v>
      </x:c>
      <x:c r="Q96" s="16" t="str">
        <x:v>no</x:v>
      </x:c>
      <x:c r="R96" s="11" t="str"/>
      <x:c r="S96" s="11" t="str">
        <x:v>2026-08-12</x:v>
      </x:c>
      <x:c r="T96" s="18" t="str">
        <x:f>IF(OR(AND(N96="unresolved",LEN(O96)&gt;0,LEN(P96)&gt;0,Q96="yes"),AND(LEN(N96)&gt;0,LEN(O96)&gt;0,LEN(P96)&gt;0,OR(Q96="yes",Q96="no"))),"ready","pending")</x:f>
        <x:v>ready</x:v>
      </x:c>
    </x:row>
    <x:row r="97" ht="44" customHeight="1">
      <x:c r="A97" s="10" t="str">
        <x:v>U06__primary_shape</x:v>
      </x:c>
      <x:c r="B97" s="11" t="str">
        <x:v>U06</x:v>
      </x:c>
      <x:c r="C97" s="11" t="str">
        <x:v>released_67</x:v>
      </x:c>
      <x:c r="D97" s="11" t="str">
        <x:v>DIG: Oracle-Guided Directed Input Generation for One-Day Vulnerabilities</x:v>
      </x:c>
      <x:c r="E97" s="11" t="str">
        <x:v>primary system shape</x:v>
      </x:c>
      <x:c r="F97" s="11" t="str">
        <x:v>single-label</x:v>
      </x:c>
      <x:c r="G97" s="11" t="str">
        <x:v>reproduction-, validation-, and repair-centered agent</x:v>
      </x:c>
      <x:c r="H97" s="11" t="str">
        <x:v>feedback-driven fuzzing agent</x:v>
      </x:c>
      <x:c r="I97" s="11" t="str">
        <x:v>source-linked lead</x:v>
      </x:c>
      <x:c r="J97" s="11" t="str">
        <x:v>https://arxiv.org/abs/2606.13037 | Paper pp. 1–8 (oracle-guided design), pp. 8–13 (Magma CVE evaluation and new-finding study), and pp. 13–14 (limitations/disclosure). | excerpt pages 8, 1</x:v>
      </x:c>
      <x:c r="K97" s="11" t="str">
        <x:v>[p.8] These baselines cover five cat- egories: (i)C0: Agentic input generation (PBFuzz [20] and Cur- sor [24]); (ii)C1: baseline coverage-guided fuzzing (AFL [ 33] and AFL++ [27]); (iii)C2: directed fuzzing employing vari- ous techniques (AFLGo [13], SelectFuzz [15], Titan [39]); (iv) C3: coverage-guided fuzzing with enhanced mutation (Cm- pLog [31] and FOX [ 28]); and (v)C4: LLM-assisted input generation added on top of baseline coverage-guided fuzzing (G2Fuzz [17], LLAMAFUZZ [25], SeedAIchemy [26]). [p.1] At the low level, DIG instruments the oracle into the target program and uses branch-distance feedback to guide random mutation in directed fuzzing.</x:v>
      </x:c>
      <x:c r="L97" s="16" t="str">
        <x:v>A source-linked excerpt and locator are supplied as review leads; the cited source and locator should be retained for auditability.</x:v>
      </x:c>
      <x:c r="M97" s="16" t="str">
        <x:v>Choose the dominant locus and objective of agent control in the main evaluated contribution. Use the evaluation task and primary metrics to resolve ties; do not infer from agent count or system name.</x:v>
      </x:c>
      <x:c r="N97" s="16" t="str">
        <x:v>reproduction-, validation-, and repair-centered agent</x:v>
      </x:c>
      <x:c r="O97" s="16" t="str">
        <x:v>The cited source supports the selected label reproduction-, validation-, and repair-centered agent as the dominant evaluated locus and objective of agent control.</x:v>
      </x:c>
      <x:c r="P97" s="16" t="str">
        <x:v>https://arxiv.org/abs/2606.13037 | Paper pp. 1–8 (oracle-guided design), pp. 8–13 (Magma CVE evaluation and new-finding study), and pp. 13–14 (limitations/disclosure). | excerpt pages 8, 1</x:v>
      </x:c>
      <x:c r="Q97" s="16" t="str">
        <x:v>no</x:v>
      </x:c>
      <x:c r="R97" s="11" t="str"/>
      <x:c r="S97" s="11" t="str">
        <x:v>2026-08-12</x:v>
      </x:c>
      <x:c r="T97" s="18" t="str">
        <x:f>IF(OR(AND(N97="unresolved",LEN(O97)&gt;0,LEN(P97)&gt;0,Q97="yes"),AND(LEN(N97)&gt;0,LEN(O97)&gt;0,LEN(P97)&gt;0,OR(Q97="yes",Q97="no"))),"ready","pending")</x:f>
        <x:v>ready</x:v>
      </x:c>
    </x:row>
    <x:row r="98" ht="44" customHeight="1">
      <x:c r="A98" s="10" t="str">
        <x:v>U07__capability</x:v>
      </x:c>
      <x:c r="B98" s="11" t="str">
        <x:v>U07</x:v>
      </x:c>
      <x:c r="C98" s="11" t="str">
        <x:v>released_67</x:v>
      </x:c>
      <x:c r="D98" s="11" t="str">
        <x:v>NeuroLog: Reasoning You Can Audit -- Neuro-Symbolic Vulnerability Discovery via LLM Facts, Datalog, and SMT</x:v>
      </x:c>
      <x:c r="E98" s="11" t="str">
        <x:v>cross-stage capability</x:v>
      </x:c>
      <x:c r="F98" s="11" t="str">
        <x:v>multi-label</x:v>
      </x:c>
      <x:c r="G98" s="11" t="str">
        <x:v>context aggregation / rule extraction;feedback interpretation / loop adjustment;validation organization / evidence packaging</x:v>
      </x:c>
      <x:c r="H98" s="11" t="str">
        <x:v>context aggregation / rule extraction;feedback interpretation / loop adjustment;tool routing / strategy routing;validation organization / evidence packaging</x:v>
      </x:c>
      <x:c r="I98" s="11" t="str">
        <x:v>source-linked lead</x:v>
      </x:c>
      <x:c r="J98" s="11" t="str">
        <x:v>https://arxiv.org/abs/2606.00669 | Paper pp. 1–7 (neuro-symbolic pipeline), pp. 14–17 (evaluation and CVE rediscovery), and pp. 20–23 (discussion/conclusion). | excerpt pages 1, 2</x:v>
      </x:c>
      <x:c r="K98" s="11" t="str">
        <x:v>[p.1] Industrial query engines such as CodeQL [7] produce reproducible findings but require the target to bebuilt: an analyst chasing one bug in one demuxer typically stands up the entire toolchain — compilers, headers, flags, vendored dependencies, sometimes a CI environment — before a 1 arXiv:2606.00669v1 [cs.CR] 30 May 2026 [p.2] Code-property-graph tools [48] share that auditability; Joern [38] relaxes the build requirement (its C/C++ frontend parses directly, usinggcc only optionally for system headers), but CPG construction still gives the analyst no runtime/SMT-grade decision procedure for reachability.</x:v>
      </x:c>
      <x:c r="L98" s="16" t="str">
        <x:v>A source-linked excerpt and locator are supplied as review leads; the cited source and locator should be retained for auditability.</x:v>
      </x:c>
      <x:c r="M98" s="16" t="str">
        <x:v>Require an explicit cross-stage connection. Information must guide later action; feedback must alter later action; packaging must assemble prior outputs; governance must enforce an actual gate.</x:v>
      </x:c>
      <x:c r="N98" s="16" t="str">
        <x:v>context aggregation / rule extraction;feedback interpretation / loop adjustment;validation organization / evidence packaging</x:v>
      </x:c>
      <x:c r="O98" s="16" t="str">
        <x:v>The cited source supports the selected label context aggregation / rule extraction;feedback interpretation / loop adjustment;validation organization / evidence packaging; each retained label requires an explicit connection that guides later action, feedback, packaging, or a gate.</x:v>
      </x:c>
      <x:c r="P98" s="16" t="str">
        <x:v>https://arxiv.org/abs/2606.00669 | Paper pp. 1–7 (neuro-symbolic pipeline), pp. 14–17 (evaluation and CVE rediscovery), and pp. 20–23 (discussion/conclusion). | excerpt pages 1, 2</x:v>
      </x:c>
      <x:c r="Q98" s="16" t="str">
        <x:v>no</x:v>
      </x:c>
      <x:c r="R98" s="11" t="str"/>
      <x:c r="S98" s="11" t="str">
        <x:v>2026-08-12</x:v>
      </x:c>
      <x:c r="T98" s="18" t="str">
        <x:f>IF(OR(AND(N98="unresolved",LEN(O98)&gt;0,LEN(P98)&gt;0,Q98="yes"),AND(LEN(N98)&gt;0,LEN(O98)&gt;0,LEN(P98)&gt;0,OR(Q98="yes",Q98="no"))),"ready","pending")</x:f>
        <x:v>ready</x:v>
      </x:c>
    </x:row>
    <x:row r="99" ht="44" customHeight="1">
      <x:c r="A99" s="10" t="str">
        <x:v>U07__primary_shape</x:v>
      </x:c>
      <x:c r="B99" s="11" t="str">
        <x:v>U07</x:v>
      </x:c>
      <x:c r="C99" s="11" t="str">
        <x:v>released_67</x:v>
      </x:c>
      <x:c r="D99" s="11" t="str">
        <x:v>NeuroLog: Reasoning You Can Audit -- Neuro-Symbolic Vulnerability Discovery via LLM Facts, Datalog, and SMT</x:v>
      </x:c>
      <x:c r="E99" s="11" t="str">
        <x:v>primary system shape</x:v>
      </x:c>
      <x:c r="F99" s="11" t="str">
        <x:v>single-label</x:v>
      </x:c>
      <x:c r="G99" s="11" t="str">
        <x:v>candidate-analysis system</x:v>
      </x:c>
      <x:c r="H99" s="11" t="str">
        <x:v>reproduction-, validation-, and repair-centered agent</x:v>
      </x:c>
      <x:c r="I99" s="11" t="str">
        <x:v>source-linked lead</x:v>
      </x:c>
      <x:c r="J99" s="11" t="str">
        <x:v>https://arxiv.org/abs/2606.00669 | Paper pp. 1–7 (neuro-symbolic pipeline), pp. 14–17 (evaluation and CVE rediscovery), and pp. 20–23 (discussion/conclusion). | excerpt pages 17, 2</x:v>
      </x:c>
      <x:c r="K99" s="11" t="str">
        <x:v>[p.17] The mesh’sLifecycleAudit, ResourceCleanupMiss, and a host-authored free-while-linked lens produced five candidate sites, all hand-validated under ASan/LSan: one use-after-free + double-free in the cpio reader (issue #3053 [2]); three resource-leak bugs in the XAR reader, WARC writer, and 7zip writer [3–5]; and one OOB read into adjacent.rodata in the XAR writer’smake_fflags_entry (issue #3059 [6]).1 All five sites are filed upstream; per-bug source locations, ASan witnesses, reproducers, and proposed patches are in the linked issues. [p.2] Recent benchmark work [34] shows ML-based vulnerability detectors trained at single-function granularity systematically over-claim recall: a function may be “buggy” only via how its caller invokes it.NeuroLog’s structural response is to restrict the LLM to per-function fact extraction and delegate cross-function reasoning to Datalog where it can be audited.</x:v>
      </x:c>
      <x:c r="L99" s="16" t="str">
        <x:v>A source-linked excerpt and locator are supplied as review leads; the cited source and locator should be retained for auditability.</x:v>
      </x:c>
      <x:c r="M99" s="16" t="str">
        <x:v>Choose the dominant locus and objective of agent control in the main evaluated contribution. Use the evaluation task and primary metrics to resolve ties; do not infer from agent count or system name.</x:v>
      </x:c>
      <x:c r="N99" s="16" t="str">
        <x:v>candidate-analysis system</x:v>
      </x:c>
      <x:c r="O99" s="16" t="str">
        <x:v>The cited source supports the selected label candidate-analysis system as the dominant evaluated locus and objective of agent control.</x:v>
      </x:c>
      <x:c r="P99" s="16" t="str">
        <x:v>https://arxiv.org/abs/2606.00669 | Paper pp. 1–7 (neuro-symbolic pipeline), pp. 14–17 (evaluation and CVE rediscovery), and pp. 20–23 (discussion/conclusion). | excerpt pages 17, 2</x:v>
      </x:c>
      <x:c r="Q99" s="16" t="str">
        <x:v>no</x:v>
      </x:c>
      <x:c r="R99" s="11" t="str"/>
      <x:c r="S99" s="11" t="str">
        <x:v>2026-08-12</x:v>
      </x:c>
      <x:c r="T99" s="18" t="str">
        <x:f>IF(OR(AND(N99="unresolved",LEN(O99)&gt;0,LEN(P99)&gt;0,Q99="yes"),AND(LEN(N99)&gt;0,LEN(O99)&gt;0,LEN(P99)&gt;0,OR(Q99="yes",Q99="no"))),"ready","pending")</x:f>
        <x:v>ready</x:v>
      </x:c>
    </x:row>
    <x:row r="100" ht="44" customHeight="1">
      <x:c r="A100" s="10" t="str">
        <x:v>U07__external_traceability</x:v>
      </x:c>
      <x:c r="B100" s="11" t="str">
        <x:v>U07</x:v>
      </x:c>
      <x:c r="C100" s="11" t="str">
        <x:v>released_67</x:v>
      </x:c>
      <x:c r="D100" s="11" t="str">
        <x:v>NeuroLog: Reasoning You Can Audit -- Neuro-Symbolic Vulnerability Discovery via LLM Facts, Datalog, and SMT</x:v>
      </x:c>
      <x:c r="E100" s="11" t="str">
        <x:v>external traceability</x:v>
      </x:c>
      <x:c r="F100" s="11" t="str">
        <x:v>single-label</x:v>
      </x:c>
      <x:c r="G100" s="11" t="str">
        <x:v>author-reported external clue</x:v>
      </x:c>
      <x:c r="H100" s="11" t="str">
        <x:v>benchmark ground truth / public material</x:v>
      </x:c>
      <x:c r="I100" s="11" t="str">
        <x:v>source-linked lead</x:v>
      </x:c>
      <x:c r="J100" s="11" t="str">
        <x:v>https://arxiv.org/abs/2606.00669 | Paper pp. 1–7 (neuro-symbolic pipeline), pp. 14–17 (evaluation and CVE rediscovery), and pp. 20–23 (discussion/conclusion). | excerpt pages 1, 15</x:v>
      </x:c>
      <x:c r="K100" s="11" t="str">
        <x:v>[p.1] Across stb, cJSON, a libxml2 scale run, an FFmpeg demuxer slice, and twocurl 8.3.0 audits,NeuroLogre-discovers eight published CVE-class issues end-to-end — including the CVSS-9.8 curl SOCKS5 heap overflow (CVE-2023-38545) — each confirmed by an AddressSanitizer harness. [p.15] The two stb CVEs are independently confirmed by a libFuzzer/ASan run onfuzz_vorbis producing 23 unique crashes clustered in thestb_vorbis decode chain at the lines Datalog flagged (L3664/3670→L5112→L5390).</x:v>
      </x:c>
      <x:c r="L100" s="16" t="str">
        <x:v>A source-linked excerpt and locator are supplied as review leads; the cited source and locator should be retained for auditability.</x:v>
      </x:c>
      <x:c r="M100" s="16" t="str">
        <x:v>Code separately from principal output. Only item-level alignment between a concrete system result and a specific public external record qualifies as publicly aligned external trace.</x:v>
      </x:c>
      <x:c r="N100" s="16" t="str">
        <x:v>author-reported external clue</x:v>
      </x:c>
      <x:c r="O100" s="16" t="str">
        <x:v>The cited source supports the selected label author-reported external clue under the codebook's item-level public-record alignment criterion.</x:v>
      </x:c>
      <x:c r="P100" s="16" t="str">
        <x:v>https://arxiv.org/abs/2606.00669 | Paper pp. 1–7 (neuro-symbolic pipeline), pp. 14–17 (evaluation and CVE rediscovery), and pp. 20–23 (discussion/conclusion). | excerpt pages 1, 15</x:v>
      </x:c>
      <x:c r="Q100" s="16" t="str">
        <x:v>no</x:v>
      </x:c>
      <x:c r="R100" s="11" t="str"/>
      <x:c r="S100" s="11" t="str">
        <x:v>2026-08-12</x:v>
      </x:c>
      <x:c r="T100" s="18" t="str">
        <x:f>IF(OR(AND(N100="unresolved",LEN(O100)&gt;0,LEN(P100)&gt;0,Q100="yes"),AND(LEN(N100)&gt;0,LEN(O100)&gt;0,LEN(P100)&gt;0,OR(Q100="yes",Q100="no"))),"ready","pending")</x:f>
        <x:v>ready</x:v>
      </x:c>
    </x:row>
    <x:row r="101" ht="44" customHeight="1">
      <x:c r="A101" s="10" t="str">
        <x:v>U08__capability</x:v>
      </x:c>
      <x:c r="B101" s="11" t="str">
        <x:v>U08</x:v>
      </x:c>
      <x:c r="C101" s="11" t="str">
        <x:v>released_67</x:v>
      </x:c>
      <x:c r="D101" s="11" t="str">
        <x:v>EvoRepair: Enhancing Vulnerability Repair Agents Through Experience-Based Self-Evolution</x:v>
      </x:c>
      <x:c r="E101" s="11" t="str">
        <x:v>cross-stage capability</x:v>
      </x:c>
      <x:c r="F101" s="11" t="str">
        <x:v>multi-label</x:v>
      </x:c>
      <x:c r="G101" s="11" t="str">
        <x:v>context aggregation / rule extraction;failure reuse / strategy update;feedback interpretation / loop adjustment;long-horizon state management;validation organization / evidence packaging</x:v>
      </x:c>
      <x:c r="H101" s="11" t="str">
        <x:v>context aggregation / rule extraction;failure reuse / strategy update;feedback interpretation / loop adjustment;long-horizon state management;tool routing / strategy routing;validation organization / evidence packaging</x:v>
      </x:c>
      <x:c r="I101" s="11" t="str">
        <x:v>source-linked lead</x:v>
      </x:c>
      <x:c r="J101" s="11" t="str">
        <x:v>https://arxiv.org/abs/2605.30105 | Paper pp. 1–9 (experience bank and repair loop), pp. 9–15 (benchmark evaluation and transfer). | excerpt pages 6, 2</x:v>
      </x:c>
      <x:c r="K101" s="11" t="str">
        <x:v>[p.6] Repair Strategy Summarize the remediation approach and why it was chosen Chosen remediation method (e.g., input validation, least privi- lege, resource limits), rationale for selection, expected effective- ness, alternative options C. [p.2] Without such experience accumulation, LLMs may repeatedly follow unproductive repair paths, make similar mistakes across trajectories, and miss opportuni- ties to iteratively refine its repair strategy.</x:v>
      </x:c>
      <x:c r="L101" s="16" t="str">
        <x:v>A source-linked excerpt and locator are supplied as review leads; the cited source and locator should be retained for auditability.</x:v>
      </x:c>
      <x:c r="M101" s="16" t="str">
        <x:v>Require an explicit cross-stage connection. Information must guide later action; feedback must alter later action; packaging must assemble prior outputs; governance must enforce an actual gate.</x:v>
      </x:c>
      <x:c r="N101" s="16" t="str">
        <x:v>context aggregation / rule extraction;feedback interpretation / loop adjustment;validation organization / evidence packaging;long-horizon state management;failure reuse / strategy update</x:v>
      </x:c>
      <x:c r="O101" s="16" t="str">
        <x:v>The cited source supports the selected label context aggregation / rule extraction;feedback interpretation / loop adjustment;validation organization / evidence packaging;long-horizon state management;failure reuse / strategy update; each retained label requires an explicit connection that guides later action, feedback, packaging, or a gate.</x:v>
      </x:c>
      <x:c r="P101" s="16" t="str">
        <x:v>https://arxiv.org/abs/2605.30105 | Paper pp. 1–9 (experience bank and repair loop), pp. 9–15 (benchmark evaluation and transfer). | excerpt pages 6, 2</x:v>
      </x:c>
      <x:c r="Q101" s="16" t="str">
        <x:v>no</x:v>
      </x:c>
      <x:c r="R101" s="11" t="str"/>
      <x:c r="S101" s="11" t="str">
        <x:v>2026-08-12</x:v>
      </x:c>
      <x:c r="T101" s="18" t="str">
        <x:f>IF(OR(AND(N101="unresolved",LEN(O101)&gt;0,LEN(P101)&gt;0,Q101="yes"),AND(LEN(N101)&gt;0,LEN(O101)&gt;0,LEN(P101)&gt;0,OR(Q101="yes",Q101="no"))),"ready","pending")</x:f>
        <x:v>ready</x:v>
      </x:c>
    </x:row>
    <x:row r="102" ht="44" customHeight="1">
      <x:c r="A102" s="10" t="str">
        <x:v>U08__primary_shape</x:v>
      </x:c>
      <x:c r="B102" s="11" t="str">
        <x:v>U08</x:v>
      </x:c>
      <x:c r="C102" s="11" t="str">
        <x:v>released_67</x:v>
      </x:c>
      <x:c r="D102" s="11" t="str">
        <x:v>EvoRepair: Enhancing Vulnerability Repair Agents Through Experience-Based Self-Evolution</x:v>
      </x:c>
      <x:c r="E102" s="11" t="str">
        <x:v>primary system shape</x:v>
      </x:c>
      <x:c r="F102" s="11" t="str">
        <x:v>single-label</x:v>
      </x:c>
      <x:c r="G102" s="11" t="str">
        <x:v>reproduction-, validation-, and repair-centered agent</x:v>
      </x:c>
      <x:c r="H102" s="11" t="str">
        <x:v>long-horizon pentest and CRS agent</x:v>
      </x:c>
      <x:c r="I102" s="11" t="str">
        <x:v>source-linked lead</x:v>
      </x:c>
      <x:c r="J102" s="11" t="str">
        <x:v>https://arxiv.org/abs/2605.30105 | Paper pp. 1–9 (experience bank and repair loop), pp. 9–15 (benchmark evaluation and transfer). | excerpt pages 7, 9</x:v>
      </x:c>
      <x:c r="K102" s="11" t="str">
        <x:v>[p.7] At the start of each repairattempt cve_description,cwe_info, experi-ence_context vulnerability_summary, hypothesis (likely rootcause), checklist (items to verify)- Reproduce PoC Confirm the vulnerability is reproducible in thecurrent repository by running the PoC.Before localization andmodification. source_dir, fix-run.sh,vul-run.sh reproduction_result (PoC success/failure), fail-ure_logs (if reproduction fails)bash prepare.sh &amp;&amp; bashvul-run.sh Locate Vulnera-bility Locate the exact code lines, functions, or filesthat trigger the vulnerability and mark the editablescope. [p.9] Following the original papers, we use oracle localization for PATCHEV AL and apply end- to-end repair to SEC-bench (poc-desc mode [41]).</x:v>
      </x:c>
      <x:c r="L102" s="16" t="str">
        <x:v>A source-linked excerpt and locator are supplied as review leads; the cited source and locator should be retained for auditability.</x:v>
      </x:c>
      <x:c r="M102" s="16" t="str">
        <x:v>Choose the dominant locus and objective of agent control in the main evaluated contribution. Use the evaluation task and primary metrics to resolve ties; do not infer from agent count or system name.</x:v>
      </x:c>
      <x:c r="N102" s="16" t="str">
        <x:v>reproduction-, validation-, and repair-centered agent</x:v>
      </x:c>
      <x:c r="O102" s="16" t="str">
        <x:v>The cited source supports the selected label reproduction-, validation-, and repair-centered agent as the dominant evaluated locus and objective of agent control.</x:v>
      </x:c>
      <x:c r="P102" s="16" t="str">
        <x:v>https://arxiv.org/abs/2605.30105 | Paper pp. 1–9 (experience bank and repair loop), pp. 9–15 (benchmark evaluation and transfer). | excerpt pages 7, 9</x:v>
      </x:c>
      <x:c r="Q102" s="16" t="str">
        <x:v>no</x:v>
      </x:c>
      <x:c r="R102" s="11" t="str"/>
      <x:c r="S102" s="11" t="str">
        <x:v>2026-08-12</x:v>
      </x:c>
      <x:c r="T102" s="18" t="str">
        <x:f>IF(OR(AND(N102="unresolved",LEN(O102)&gt;0,LEN(P102)&gt;0,Q102="yes"),AND(LEN(N102)&gt;0,LEN(O102)&gt;0,LEN(P102)&gt;0,OR(Q102="yes",Q102="no"))),"ready","pending")</x:f>
        <x:v>ready</x:v>
      </x:c>
    </x:row>
    <x:row r="103" ht="44" customHeight="1">
      <x:c r="A103" s="10" t="str">
        <x:v>U09__lifecycle</x:v>
      </x:c>
      <x:c r="B103" s="11" t="str">
        <x:v>U09</x:v>
      </x:c>
      <x:c r="C103" s="11" t="str">
        <x:v>released_67</x:v>
      </x:c>
      <x:c r="D103" s="11" t="str">
        <x:v>Quality-Assured Fuzz Harness Generation via the Four Principles Framework</x:v>
      </x:c>
      <x:c r="E103" s="11" t="str">
        <x:v>lifecycle coverage</x:v>
      </x:c>
      <x:c r="F103" s="11" t="str">
        <x:v>multi-label</x:v>
      </x:c>
      <x:c r="G103" s="11" t="str">
        <x:v>execution observation;path and input exploration;reporting and audit</x:v>
      </x:c>
      <x:c r="H103" s="11" t="str">
        <x:v>candidate analysis;execution observation;path and input exploration;reporting and audit;reproduction and validation</x:v>
      </x:c>
      <x:c r="I103" s="11" t="str">
        <x:v>source-linked lead</x:v>
      </x:c>
      <x:c r="J103" s="11" t="str">
        <x:v>https://arxiv.org/abs/2605.21824 | Paper pp. 1–6 (Four Principles and generate-check-fix loop), pp. 6–12 (RQ1–RQ5), and p. 14 (ethics/release boundary). | excerpt pages 2, 4</x:v>
      </x:c>
      <x:c r="K103" s="11" t="str">
        <x:v>[p.2] The system operates in four stages: (1) anentry-selection agentuses the call graph to enumerate candidate fuzzing targets, ensures each can reach its core implemen- tation, prefers public APIs, and ranks them by a staticdanger score; (2) anAPI-research agentcollects protocol information (call order, object lifecycle, parameter constraints) for the selected targets; (3) aharness-generator agentdrafts a fuzzer source in full and runs a bounded build loop; and (4) anadversarial-validation gateforces the harness through reach- and run-check probes, routing any crash through P1/P2/P3/P4 triage before submission. [p.4] Result: UAF vulnerability found (confirmed and fixed upstream), ranked #1 by danger score among 5 candidates.</x:v>
      </x:c>
      <x:c r="L103" s="16" t="str">
        <x:v>A source-linked excerpt and locator are supplied as review leads; the cited source and locator should be retained for auditability.</x:v>
      </x:c>
      <x:c r="M103" s="16" t="str">
        <x:v>Mark only observable lifecycle actions or outputs. Reporting and audit requires explicit packaging, routing, disclosure, or audit transition; a report name alone is insufficient.</x:v>
      </x:c>
      <x:c r="N103" s="16" t="str">
        <x:v>path and input exploration;execution observation;reporting and audit</x:v>
      </x:c>
      <x:c r="O103" s="16" t="str">
        <x:v>The cited source supports the selected label path and input exploration;execution observation;reporting and audit; only observable workflow actions or outputs were retained.</x:v>
      </x:c>
      <x:c r="P103" s="16" t="str">
        <x:v>https://arxiv.org/abs/2605.21824 | Paper pp. 1–6 (Four Principles and generate-check-fix loop), pp. 6–12 (RQ1–RQ5), and p. 14 (ethics/release boundary). | excerpt pages 2, 4</x:v>
      </x:c>
      <x:c r="Q103" s="16" t="str">
        <x:v>no</x:v>
      </x:c>
      <x:c r="R103" s="11" t="str"/>
      <x:c r="S103" s="11" t="str">
        <x:v>2026-08-12</x:v>
      </x:c>
      <x:c r="T103" s="18" t="str">
        <x:f>IF(OR(AND(N103="unresolved",LEN(O103)&gt;0,LEN(P103)&gt;0,Q103="yes"),AND(LEN(N103)&gt;0,LEN(O103)&gt;0,LEN(P103)&gt;0,OR(Q103="yes",Q103="no"))),"ready","pending")</x:f>
        <x:v>ready</x:v>
      </x:c>
    </x:row>
    <x:row r="104" ht="44" customHeight="1">
      <x:c r="A104" s="10" t="str">
        <x:v>U09__capability</x:v>
      </x:c>
      <x:c r="B104" s="11" t="str">
        <x:v>U09</x:v>
      </x:c>
      <x:c r="C104" s="11" t="str">
        <x:v>released_67</x:v>
      </x:c>
      <x:c r="D104" s="11" t="str">
        <x:v>Quality-Assured Fuzz Harness Generation via the Four Principles Framework</x:v>
      </x:c>
      <x:c r="E104" s="11" t="str">
        <x:v>cross-stage capability</x:v>
      </x:c>
      <x:c r="F104" s="11" t="str">
        <x:v>multi-label</x:v>
      </x:c>
      <x:c r="G104" s="11" t="str">
        <x:v>context aggregation / rule extraction;feedback interpretation / loop adjustment;tool routing / strategy routing;validation organization / evidence packaging</x:v>
      </x:c>
      <x:c r="H104" s="11" t="str">
        <x:v>context aggregation / rule extraction;feedback interpretation / loop adjustment;governance / human gates / disclosure control;tool routing / strategy routing;validation organization / evidence packaging</x:v>
      </x:c>
      <x:c r="I104" s="11" t="str">
        <x:v>source-linked lead</x:v>
      </x:c>
      <x:c r="J104" s="11" t="str">
        <x:v>https://arxiv.org/abs/2605.21824 | Paper pp. 1–6 (Four Principles and generate-check-fix loop), pp. 6–12 (RQ1–RQ5), and p. 14 (ethics/release boundary). | excerpt pages 14, 1</x:v>
      </x:c>
      <x:c r="K104" s="11" t="str">
        <x:v>[p.14] All targets public; no human subjects, no user data; the disclosure protocol below was established before any audit or generation run. [p.1] Request permissions from permissions@acm.org.</x:v>
      </x:c>
      <x:c r="L104" s="16" t="str">
        <x:v>A source-linked excerpt and locator are supplied as review leads; the cited source and locator should be retained for auditability.</x:v>
      </x:c>
      <x:c r="M104" s="16" t="str">
        <x:v>Require an explicit cross-stage connection. Information must guide later action; feedback must alter later action; packaging must assemble prior outputs; governance must enforce an actual gate.</x:v>
      </x:c>
      <x:c r="N104" s="16" t="str">
        <x:v>context aggregation / rule extraction;tool routing / strategy routing;feedback interpretation / loop adjustment;validation organization / evidence packaging</x:v>
      </x:c>
      <x:c r="O104" s="16" t="str">
        <x:v>The cited source supports the selected label context aggregation / rule extraction;tool routing / strategy routing;feedback interpretation / loop adjustment;validation organization / evidence packaging; each retained label requires an explicit connection that guides later action, feedback, packaging, or a gate.</x:v>
      </x:c>
      <x:c r="P104" s="16" t="str">
        <x:v>https://arxiv.org/abs/2605.21824 | Paper pp. 1–6 (Four Principles and generate-check-fix loop), pp. 6–12 (RQ1–RQ5), and p. 14 (ethics/release boundary). | excerpt pages 14, 1</x:v>
      </x:c>
      <x:c r="Q104" s="16" t="str">
        <x:v>no</x:v>
      </x:c>
      <x:c r="R104" s="11" t="str"/>
      <x:c r="S104" s="11" t="str">
        <x:v>2026-08-12</x:v>
      </x:c>
      <x:c r="T104" s="18" t="str">
        <x:f>IF(OR(AND(N104="unresolved",LEN(O104)&gt;0,LEN(P104)&gt;0,Q104="yes"),AND(LEN(N104)&gt;0,LEN(O104)&gt;0,LEN(P104)&gt;0,OR(Q104="yes",Q104="no"))),"ready","pending")</x:f>
        <x:v>ready</x:v>
      </x:c>
    </x:row>
    <x:row r="105" ht="44" customHeight="1">
      <x:c r="A105" s="10" t="str">
        <x:v>U10__lifecycle</x:v>
      </x:c>
      <x:c r="B105" s="11" t="str">
        <x:v>U10</x:v>
      </x:c>
      <x:c r="C105" s="11" t="str">
        <x:v>released_67</x:v>
      </x:c>
      <x:c r="D105" s="11" t="str">
        <x:v>ContraFix: Skill-Enhanced Contrastive Runtime Analysis for Vulnerability Repair</x:v>
      </x:c>
      <x:c r="E105" s="11" t="str">
        <x:v>lifecycle coverage</x:v>
      </x:c>
      <x:c r="F105" s="11" t="str">
        <x:v>multi-label</x:v>
      </x:c>
      <x:c r="G105" s="11" t="str">
        <x:v>candidate analysis;execution observation;patch validation;path and input exploration</x:v>
      </x:c>
      <x:c r="H105" s="11" t="str">
        <x:v>candidate analysis;execution observation;patch validation</x:v>
      </x:c>
      <x:c r="I105" s="11" t="str">
        <x:v>source-linked lead</x:v>
      </x:c>
      <x:c r="J105" s="11" t="str">
        <x:v>https://arxiv.org/abs/2605.17450 | Paper pp. 1–5 (contrastive runtime repair design), pp. 5–9 (PatchEval evaluation), and pp. 9–10 (discussion/conclusion). | excerpt pages 3, 10</x:v>
      </x:c>
      <x:c r="K105" s="11" t="str">
        <x:v>[p.3] Effective mutation must respect the structural constraints of each format; blindly corrupting bytes typically produces unparseable inputs rejected long before execution reaches the vulnerable code path [10, 11].ContraFixaddresses this challenge with a two-level mutation strategy. [p.10] A useful mutation must preserve the input format and vulnerable path while crossing the execution boundary; patch refinement must identify how an edit using the wrong variable, location, boundary, or repair scope was corrected.</x:v>
      </x:c>
      <x:c r="L105" s="16" t="str">
        <x:v>A source-linked excerpt and locator are supplied as review leads; the cited source and locator should be retained for auditability.</x:v>
      </x:c>
      <x:c r="M105" s="16" t="str">
        <x:v>Mark only observable lifecycle actions or outputs. Reporting and audit requires explicit packaging, routing, disclosure, or audit transition; a report name alone is insufficient.</x:v>
      </x:c>
      <x:c r="N105" s="16" t="str">
        <x:v>candidate analysis;path and input exploration;execution observation;patch validation</x:v>
      </x:c>
      <x:c r="O105" s="16" t="str">
        <x:v>The cited source supports the selected label candidate analysis;path and input exploration;execution observation;patch validation; only observable workflow actions or outputs were retained.</x:v>
      </x:c>
      <x:c r="P105" s="16" t="str">
        <x:v>https://arxiv.org/abs/2605.17450 | Paper pp. 1–5 (contrastive runtime repair design), pp. 5–9 (PatchEval evaluation), and pp. 9–10 (discussion/conclusion). | excerpt pages 3, 10</x:v>
      </x:c>
      <x:c r="Q105" s="16" t="str">
        <x:v>no</x:v>
      </x:c>
      <x:c r="R105" s="11" t="str"/>
      <x:c r="S105" s="11" t="str">
        <x:v>2026-08-12</x:v>
      </x:c>
      <x:c r="T105" s="18" t="str">
        <x:f>IF(OR(AND(N105="unresolved",LEN(O105)&gt;0,LEN(P105)&gt;0,Q105="yes"),AND(LEN(N105)&gt;0,LEN(O105)&gt;0,LEN(P105)&gt;0,OR(Q105="yes",Q105="no"))),"ready","pending")</x:f>
        <x:v>ready</x:v>
      </x:c>
    </x:row>
    <x:row r="106" ht="44" customHeight="1">
      <x:c r="A106" s="10" t="str">
        <x:v>U10__capability</x:v>
      </x:c>
      <x:c r="B106" s="11" t="str">
        <x:v>U10</x:v>
      </x:c>
      <x:c r="C106" s="11" t="str">
        <x:v>released_67</x:v>
      </x:c>
      <x:c r="D106" s="11" t="str">
        <x:v>ContraFix: Skill-Enhanced Contrastive Runtime Analysis for Vulnerability Repair</x:v>
      </x:c>
      <x:c r="E106" s="11" t="str">
        <x:v>cross-stage capability</x:v>
      </x:c>
      <x:c r="F106" s="11" t="str">
        <x:v>multi-label</x:v>
      </x:c>
      <x:c r="G106" s="11" t="str">
        <x:v>context aggregation / rule extraction;failure reuse / strategy update;feedback interpretation / loop adjustment;validation organization / evidence packaging</x:v>
      </x:c>
      <x:c r="H106" s="11" t="str">
        <x:v>context aggregation / rule extraction;failure reuse / strategy update;feedback interpretation / loop adjustment;tool routing / strategy routing;validation organization / evidence packaging</x:v>
      </x:c>
      <x:c r="I106" s="11" t="str">
        <x:v>source-linked lead</x:v>
      </x:c>
      <x:c r="J106" s="11" t="str">
        <x:v>https://arxiv.org/abs/2605.17450 | Paper pp. 1–5 (contrastive runtime repair design), pp. 5–9 (PatchEval evaluation), and pp. 9–10 (discussion/conclusion). | excerpt pages 1, 3</x:v>
      </x:c>
      <x:c r="K106" s="11" t="str">
        <x:v>[p.1] Recent large language models (LLMs) and agen- tic repair systems, which can generate code, inspect repositories, and interact with execution tools, have therefore made Automated Vulnerability Repair (AVR) increasingly promising [15, 21, 30, 44]. [p.3] Complete tool schemas and prompts are provided in the replication package.</x:v>
      </x:c>
      <x:c r="L106" s="16" t="str">
        <x:v>A source-linked excerpt and locator are supplied as review leads; the cited source and locator should be retained for auditability.</x:v>
      </x:c>
      <x:c r="M106" s="16" t="str">
        <x:v>Require an explicit cross-stage connection. Information must guide later action; feedback must alter later action; packaging must assemble prior outputs; governance must enforce an actual gate.</x:v>
      </x:c>
      <x:c r="N106" s="16" t="str">
        <x:v>context aggregation / rule extraction;feedback interpretation / loop adjustment;validation organization / evidence packaging;failure reuse / strategy update</x:v>
      </x:c>
      <x:c r="O106" s="16" t="str">
        <x:v>The cited source supports the selected label context aggregation / rule extraction;feedback interpretation / loop adjustment;validation organization / evidence packaging;failure reuse / strategy update; each retained label requires an explicit connection that guides later action, feedback, packaging, or a gate.</x:v>
      </x:c>
      <x:c r="P106" s="16" t="str">
        <x:v>https://arxiv.org/abs/2605.17450 | Paper pp. 1–5 (contrastive runtime repair design), pp. 5–9 (PatchEval evaluation), and pp. 9–10 (discussion/conclusion). | excerpt pages 1, 3</x:v>
      </x:c>
      <x:c r="Q106" s="16" t="str">
        <x:v>no</x:v>
      </x:c>
      <x:c r="R106" s="11" t="str"/>
      <x:c r="S106" s="11" t="str">
        <x:v>2026-08-12</x:v>
      </x:c>
      <x:c r="T106" s="18" t="str">
        <x:f>IF(OR(AND(N106="unresolved",LEN(O106)&gt;0,LEN(P106)&gt;0,Q106="yes"),AND(LEN(N106)&gt;0,LEN(O106)&gt;0,LEN(P106)&gt;0,OR(Q106="yes",Q106="no"))),"ready","pending")</x:f>
        <x:v>ready</x:v>
      </x:c>
    </x:row>
    <x:row r="107" ht="44" customHeight="1">
      <x:c r="A107" s="10" t="str">
        <x:v>U11__capability</x:v>
      </x:c>
      <x:c r="B107" s="11" t="str">
        <x:v>U11</x:v>
      </x:c>
      <x:c r="C107" s="11" t="str">
        <x:v>released_67</x:v>
      </x:c>
      <x:c r="D107" s="11" t="str">
        <x:v>MemRepair: Hierarchical Memory for Agentic Repository-Level Vulnerability Repair</x:v>
      </x:c>
      <x:c r="E107" s="11" t="str">
        <x:v>cross-stage capability</x:v>
      </x:c>
      <x:c r="F107" s="11" t="str">
        <x:v>multi-label</x:v>
      </x:c>
      <x:c r="G107" s="11" t="str">
        <x:v>context aggregation / rule extraction;failure reuse / strategy update;feedback interpretation / loop adjustment;long-horizon state management;validation organization / evidence packaging</x:v>
      </x:c>
      <x:c r="H107" s="11" t="str">
        <x:v>context aggregation / rule extraction;failure reuse / strategy update;feedback interpretation / loop adjustment;long-horizon state management;tool routing / strategy routing;validation organization / evidence packaging</x:v>
      </x:c>
      <x:c r="I107" s="11" t="str">
        <x:v>source-linked lead</x:v>
      </x:c>
      <x:c r="J107" s="11" t="str">
        <x:v>https://arxiv.org/abs/2605.17444 | Paper pp. 1–5 (hierarchical memory/refinement loop), pp. 5–10 (evaluation, cases and conclusion). | excerpt pages 3</x:v>
      </x:c>
      <x:c r="K107" s="11" t="str">
        <x:v>[p.3] Vulnerability Description History-Fix Memory (L1) Refinement-Trajectory Memory (L3) Location and Logs Buggy Program POC Runtime output Experience-Augmented Patch Synthesis Code-Memory Integration Patch Generation Strategy Alignment Query Fixes Fuse Context Expolre Context Confirm Root Evaluate Strategy Determine Strategy Code Synthesis Patch and Logs PoC Execution Experiences Distillation Feedback Analysis Apply PatchBuild ProjectRun Tests Collect Logs LLM-driven Verification L2 Memory L3 Memory Final Patch failed (regenerte) succeeded Verification Iterative Control Hierarchical Memory System Iter Grep Code Edit File Generation Tools Inputs Feedback-Driven Refinement Loop experiences experie</x:v>
      </x:c>
      <x:c r="L107" s="16" t="str">
        <x:v>A source-linked excerpt and locator are supplied as review leads; the cited source and locator should be retained for auditability.</x:v>
      </x:c>
      <x:c r="M107" s="16" t="str">
        <x:v>Require an explicit cross-stage connection. Information must guide later action; feedback must alter later action; packaging must assemble prior outputs; governance must enforce an actual gate.</x:v>
      </x:c>
      <x:c r="N107" s="16" t="str">
        <x:v>context aggregation / rule extraction;feedback interpretation / loop adjustment;validation organization / evidence packaging;long-horizon state management;failure reuse / strategy update</x:v>
      </x:c>
      <x:c r="O107" s="16" t="str">
        <x:v>The cited source supports the selected label context aggregation / rule extraction;feedback interpretation / loop adjustment;validation organization / evidence packaging;long-horizon state management;failure reuse / strategy update; each retained label requires an explicit connection that guides later action, feedback, packaging, or a gate.</x:v>
      </x:c>
      <x:c r="P107" s="16" t="str">
        <x:v>https://arxiv.org/abs/2605.17444 | Paper pp. 1–5 (hierarchical memory/refinement loop), pp. 5–10 (evaluation, cases and conclusion). | excerpt pages 3</x:v>
      </x:c>
      <x:c r="Q107" s="16" t="str">
        <x:v>no</x:v>
      </x:c>
      <x:c r="R107" s="11" t="str"/>
      <x:c r="S107" s="11" t="str">
        <x:v>2026-08-12</x:v>
      </x:c>
      <x:c r="T107" s="18" t="str">
        <x:f>IF(OR(AND(N107="unresolved",LEN(O107)&gt;0,LEN(P107)&gt;0,Q107="yes"),AND(LEN(N107)&gt;0,LEN(O107)&gt;0,LEN(P107)&gt;0,OR(Q107="yes",Q107="no"))),"ready","pending")</x:f>
        <x:v>ready</x:v>
      </x:c>
    </x:row>
    <x:row r="108" ht="44" customHeight="1">
      <x:c r="A108" s="10" t="str">
        <x:v>U11__primary_shape</x:v>
      </x:c>
      <x:c r="B108" s="11" t="str">
        <x:v>U11</x:v>
      </x:c>
      <x:c r="C108" s="11" t="str">
        <x:v>released_67</x:v>
      </x:c>
      <x:c r="D108" s="11" t="str">
        <x:v>MemRepair: Hierarchical Memory for Agentic Repository-Level Vulnerability Repair</x:v>
      </x:c>
      <x:c r="E108" s="11" t="str">
        <x:v>primary system shape</x:v>
      </x:c>
      <x:c r="F108" s="11" t="str">
        <x:v>single-label</x:v>
      </x:c>
      <x:c r="G108" s="11" t="str">
        <x:v>reproduction-, validation-, and repair-centered agent</x:v>
      </x:c>
      <x:c r="H108" s="11" t="str">
        <x:v>long-horizon pentest and CRS agent</x:v>
      </x:c>
      <x:c r="I108" s="11" t="str">
        <x:v>source-linked lead</x:v>
      </x:c>
      <x:c r="J108" s="11" t="str">
        <x:v>https://arxiv.org/abs/2605.17444 | Paper pp. 1–5 (hierarchical memory/refinement loop), pp. 5–10 (evaluation, cases and conclusion). | excerpt pages 1, 2</x:v>
      </x:c>
      <x:c r="K108" s="11" t="str">
        <x:v>[p.1] This design allows the agent to retrieve repository- specific repair conventions, apply reusable security defenses, and exploit prior “failure-to-success” trajectories to revise semantically invalid patches based on runtime evidence. [p.2] The goal is to synthesize a patch 𝛿 yielding a patched version P′ =P ⊕𝛿 that satisfies two semantic constraints: (1) Functionality Preservation.The patch must maintain existing functionality, ensuring no regressions on passing tests: ∀𝑡∈ T:P (𝑡)=Pass=⇒ P ′ (𝑡)=Pass(1) (2) Vulnerability Mitigation.The patch must resolve the defect captured by the PoC𝜏 𝑣𝑢𝑙𝑛 (whereP (𝜏 𝑣𝑢𝑙𝑛 )=Fail): P′ (𝜏𝑣𝑢𝑙𝑛 )=Pass(2) The vulnerability repair task is to find a 𝛿 satisfying Eq. (1) and Eq. (2), treating 𝜏𝑣𝑢𝑙𝑛 as the security target and T as the semantic boundary.</x:v>
      </x:c>
      <x:c r="L108" s="16" t="str">
        <x:v>A source-linked excerpt and locator are supplied as review leads; the cited source and locator should be retained for auditability.</x:v>
      </x:c>
      <x:c r="M108" s="16" t="str">
        <x:v>Choose the dominant locus and objective of agent control in the main evaluated contribution. Use the evaluation task and primary metrics to resolve ties; do not infer from agent count or system name.</x:v>
      </x:c>
      <x:c r="N108" s="16" t="str">
        <x:v>reproduction-, validation-, and repair-centered agent</x:v>
      </x:c>
      <x:c r="O108" s="16" t="str">
        <x:v>The cited source supports the selected label reproduction-, validation-, and repair-centered agent as the dominant evaluated locus and objective of agent control.</x:v>
      </x:c>
      <x:c r="P108" s="16" t="str">
        <x:v>https://arxiv.org/abs/2605.17444 | Paper pp. 1–5 (hierarchical memory/refinement loop), pp. 5–10 (evaluation, cases and conclusion). | excerpt pages 1, 2</x:v>
      </x:c>
      <x:c r="Q108" s="16" t="str">
        <x:v>no</x:v>
      </x:c>
      <x:c r="R108" s="11" t="str"/>
      <x:c r="S108" s="11" t="str">
        <x:v>2026-08-12</x:v>
      </x:c>
      <x:c r="T108" s="18" t="str">
        <x:f>IF(OR(AND(N108="unresolved",LEN(O108)&gt;0,LEN(P108)&gt;0,Q108="yes"),AND(LEN(N108)&gt;0,LEN(O108)&gt;0,LEN(P108)&gt;0,OR(Q108="yes",Q108="no"))),"ready","pending")</x:f>
        <x:v>ready</x:v>
      </x:c>
    </x:row>
    <x:row r="109" ht="44" customHeight="1">
      <x:c r="A109" s="10" t="str">
        <x:v>U12__primary_shape</x:v>
      </x:c>
      <x:c r="B109" s="11" t="str">
        <x:v>U12</x:v>
      </x:c>
      <x:c r="C109" s="11" t="str">
        <x:v>released_67</x:v>
      </x:c>
      <x:c r="D109" s="11" t="str">
        <x:v>Veritas: A Semantically Grounded Agentic Framework for Memory Corruption Vulnerability Detection in Binaries</x:v>
      </x:c>
      <x:c r="E109" s="11" t="str">
        <x:v>primary system shape</x:v>
      </x:c>
      <x:c r="F109" s="11" t="str">
        <x:v>single-label</x:v>
      </x:c>
      <x:c r="G109" s="11" t="str">
        <x:v>candidate-analysis system</x:v>
      </x:c>
      <x:c r="H109" s="11" t="str">
        <x:v>reproduction-, validation-, and repair-centered agent</x:v>
      </x:c>
      <x:c r="I109" s="11" t="str">
        <x:v>source-linked lead</x:v>
      </x:c>
      <x:c r="J109" s="11" t="str">
        <x:v>https://arxiv.org/abs/2605.15097 | Paper pp. 1–6 (Slicer/Discover/Validator), pp. 6–10 (runtime-oracle evaluation and limitations). | excerpt pages 1, 2</x:v>
      </x:c>
      <x:c r="K109" s="11" t="str">
        <x:v>[p.1] We instantiateVeritasfor out- of-bounds vulnerabilities and evaluate it on a curated benchmark with flow-level annotations.Veritasachieves 90% recall, out- performs static, dynamic, binary-analysis, and agentic baselines, and reports no false positives among 623 exhaustively validated candidates and only two observed false positives in sampled audits. [p.2] The grounding framework itself separates evidence construction, reasoning, and validation, providing a basis for investigating other vulnerability classes in future work.Veritas combines a static-analysisSlicer, an LLM-basedDiscover stage, and an agenticValidator.Slicerrecovers witness-backed flows from lifted LLVM IR,Discoverconstructs candidate claims through selective dual-view reasoning over decompiled code and IR evidence, andValidatorconfirms these claims through debugger-guided runtime checks.</x:v>
      </x:c>
      <x:c r="L109" s="16" t="str">
        <x:v>A source-linked excerpt and locator are supplied as review leads; the cited source and locator should be retained for auditability.</x:v>
      </x:c>
      <x:c r="M109" s="16" t="str">
        <x:v>Choose the dominant locus and objective of agent control in the main evaluated contribution. Use the evaluation task and primary metrics to resolve ties; do not infer from agent count or system name.</x:v>
      </x:c>
      <x:c r="N109" s="16" t="str">
        <x:v>candidate-analysis system</x:v>
      </x:c>
      <x:c r="O109" s="16" t="str">
        <x:v>The cited source supports the selected label candidate-analysis system as the dominant evaluated locus and objective of agent control.</x:v>
      </x:c>
      <x:c r="P109" s="16" t="str">
        <x:v>https://arxiv.org/abs/2605.15097 | Paper pp. 1–6 (Slicer/Discover/Validator), pp. 6–10 (runtime-oracle evaluation and limitations). | excerpt pages 1, 2</x:v>
      </x:c>
      <x:c r="Q109" s="16" t="str">
        <x:v>no</x:v>
      </x:c>
      <x:c r="R109" s="11" t="str"/>
      <x:c r="S109" s="11" t="str">
        <x:v>2026-08-12</x:v>
      </x:c>
      <x:c r="T109" s="18" t="str">
        <x:f>IF(OR(AND(N109="unresolved",LEN(O109)&gt;0,LEN(P109)&gt;0,Q109="yes"),AND(LEN(N109)&gt;0,LEN(O109)&gt;0,LEN(P109)&gt;0,OR(Q109="yes",Q109="no"))),"ready","pending")</x:f>
        <x:v>ready</x:v>
      </x:c>
    </x:row>
    <x:row r="110" ht="44" customHeight="1">
      <x:c r="A110" s="10" t="str">
        <x:v>U13__lifecycle</x:v>
      </x:c>
      <x:c r="B110" s="11" t="str">
        <x:v>U13</x:v>
      </x:c>
      <x:c r="C110" s="11" t="str">
        <x:v>released_67</x:v>
      </x:c>
      <x:c r="D110" s="11" t="str">
        <x:v>FuzzAgent: Multi-Agent System for Evolutionary Library Fuzzing</x:v>
      </x:c>
      <x:c r="E110" s="11" t="str">
        <x:v>lifecycle coverage</x:v>
      </x:c>
      <x:c r="F110" s="11" t="str">
        <x:v>multi-label</x:v>
      </x:c>
      <x:c r="G110" s="11" t="str">
        <x:v>candidate analysis;execution observation;path and input exploration;reporting and audit</x:v>
      </x:c>
      <x:c r="H110" s="11" t="str">
        <x:v>candidate analysis;execution observation;path and input exploration;reporting and audit;reproduction and validation</x:v>
      </x:c>
      <x:c r="I110" s="11" t="str">
        <x:v>source-linked lead</x:v>
      </x:c>
      <x:c r="J110" s="11" t="str">
        <x:v>https://arxiv.org/abs/2605.14431 | Paper pp. 1–8 (full fuzzing lifecycle and sandboxed tools), pp. 8–14 (evaluation, crash reports and disclosure controls). | excerpt pages 1, 2</x:v>
      </x:c>
      <x:c r="K110" s="11" t="str">
        <x:v>[p.1] Despite these advances in harness generation, deploying library fuzzing at scale remains challenging: executing existing fuzzing tools still requires substantial manual effort for envi- ronment setup, struggles to produce valid harnesses efficiently, and provides limited support for crash validation. arXiv:2605.14431v1 [cs.SE] 14 May 2026 [p.2] Many library fuzzing approaches [ 13], [14], [15], [16], [17], [18], [19], [20], [21], [22] provide limited support for crash validation, which can lead to a high rate of false positives.</x:v>
      </x:c>
      <x:c r="L110" s="16" t="str">
        <x:v>A source-linked excerpt and locator are supplied as review leads; the cited source and locator should be retained for auditability.</x:v>
      </x:c>
      <x:c r="M110" s="16" t="str">
        <x:v>Mark only observable lifecycle actions or outputs. Reporting and audit requires explicit packaging, routing, disclosure, or audit transition; a report name alone is insufficient.</x:v>
      </x:c>
      <x:c r="N110" s="16" t="str">
        <x:v>candidate analysis;path and input exploration;execution observation;reporting and audit</x:v>
      </x:c>
      <x:c r="O110" s="16" t="str">
        <x:v>The cited source supports the selected label candidate analysis;path and input exploration;execution observation;reporting and audit; only observable workflow actions or outputs were retained.</x:v>
      </x:c>
      <x:c r="P110" s="16" t="str">
        <x:v>https://arxiv.org/abs/2605.14431 | Paper pp. 1–8 (full fuzzing lifecycle and sandboxed tools), pp. 8–14 (evaluation, crash reports and disclosure controls). | excerpt pages 1, 2</x:v>
      </x:c>
      <x:c r="Q110" s="16" t="str">
        <x:v>no</x:v>
      </x:c>
      <x:c r="R110" s="11" t="str"/>
      <x:c r="S110" s="11" t="str">
        <x:v>2026-08-12</x:v>
      </x:c>
      <x:c r="T110" s="18" t="str">
        <x:f>IF(OR(AND(N110="unresolved",LEN(O110)&gt;0,LEN(P110)&gt;0,Q110="yes"),AND(LEN(N110)&gt;0,LEN(O110)&gt;0,LEN(P110)&gt;0,OR(Q110="yes",Q110="no"))),"ready","pending")</x:f>
        <x:v>ready</x:v>
      </x:c>
    </x:row>
    <x:row r="111" ht="44" customHeight="1">
      <x:c r="A111" s="10" t="str">
        <x:v>U13__capability</x:v>
      </x:c>
      <x:c r="B111" s="11" t="str">
        <x:v>U13</x:v>
      </x:c>
      <x:c r="C111" s="11" t="str">
        <x:v>released_67</x:v>
      </x:c>
      <x:c r="D111" s="11" t="str">
        <x:v>FuzzAgent: Multi-Agent System for Evolutionary Library Fuzzing</x:v>
      </x:c>
      <x:c r="E111" s="11" t="str">
        <x:v>cross-stage capability</x:v>
      </x:c>
      <x:c r="F111" s="11" t="str">
        <x:v>multi-label</x:v>
      </x:c>
      <x:c r="G111" s="11" t="str">
        <x:v>context aggregation / rule extraction;feedback interpretation / loop adjustment;governance / human gates / disclosure control;long-horizon state management;tool routing / strategy routing;validation organization / evidence packaging</x:v>
      </x:c>
      <x:c r="H111" s="11" t="str">
        <x:v>context aggregation / rule extraction;failure reuse / strategy update;feedback interpretation / loop adjustment;governance / human gates / disclosure control;long-horizon state management;tool routing / strategy routing;validation organization / evidence packaging</x:v>
      </x:c>
      <x:c r="I111" s="11" t="str">
        <x:v>source-linked lead</x:v>
      </x:c>
      <x:c r="J111" s="11" t="str">
        <x:v>https://arxiv.org/abs/2605.14431 | Paper pp. 1–8 (full fuzzing lifecycle and sandboxed tools), pp. 8–14 (evaluation, crash reports and disclosure controls). | excerpt pages 2, 3</x:v>
      </x:c>
      <x:c r="K111" s="11" t="str">
        <x:v>[p.2] Nourry et al. [ 32] found that 82 of 171 OSS-Fuzz issues were related to build failures, and Pl¨oger et al. [ 31] report that 53% of participants failed at the build stage when setting up fuzzing for new libraries. [p.3] During execution, users should monitor code coverage metrics and anomalous behaviors, such as crashes, memory violations, assertion failures, or timeouts.</x:v>
      </x:c>
      <x:c r="L111" s="16" t="str">
        <x:v>A source-linked excerpt and locator are supplied as review leads; the cited source and locator should be retained for auditability.</x:v>
      </x:c>
      <x:c r="M111" s="16" t="str">
        <x:v>Require an explicit cross-stage connection. Information must guide later action; feedback must alter later action; packaging must assemble prior outputs; governance must enforce an actual gate.</x:v>
      </x:c>
      <x:c r="N111" s="16" t="str">
        <x:v>context aggregation / rule extraction;tool routing / strategy routing;feedback interpretation / loop adjustment;validation organization / evidence packaging;long-horizon state management;governance / human gates / disclosure control</x:v>
      </x:c>
      <x:c r="O111" s="16" t="str">
        <x:v>The cited source supports the selected label context aggregation / rule extraction;tool routing / strategy routing;feedback interpretation / loop adjustment;validation organization / evidence packaging;long-horizon state management;governance / human gates / disclosure control; each retained label requires an explicit connection that guides later action, feedback, packaging, or a gate.</x:v>
      </x:c>
      <x:c r="P111" s="16" t="str">
        <x:v>https://arxiv.org/abs/2605.14431 | Paper pp. 1–8 (full fuzzing lifecycle and sandboxed tools), pp. 8–14 (evaluation, crash reports and disclosure controls). | excerpt pages 2, 3</x:v>
      </x:c>
      <x:c r="Q111" s="16" t="str">
        <x:v>no</x:v>
      </x:c>
      <x:c r="R111" s="11" t="str"/>
      <x:c r="S111" s="11" t="str">
        <x:v>2026-08-12</x:v>
      </x:c>
      <x:c r="T111" s="18" t="str">
        <x:f>IF(OR(AND(N111="unresolved",LEN(O111)&gt;0,LEN(P111)&gt;0,Q111="yes"),AND(LEN(N111)&gt;0,LEN(O111)&gt;0,LEN(P111)&gt;0,OR(Q111="yes",Q111="no"))),"ready","pending")</x:f>
        <x:v>ready</x:v>
      </x:c>
    </x:row>
    <x:row r="112" ht="44" customHeight="1">
      <x:c r="A112" s="10" t="str">
        <x:v>U14__capability</x:v>
      </x:c>
      <x:c r="B112" s="11" t="str">
        <x:v>U14</x:v>
      </x:c>
      <x:c r="C112" s="11" t="str">
        <x:v>released_67</x:v>
      </x:c>
      <x:c r="D112" s="11" t="str">
        <x:v>Agentic Fuzzing: Opportunities and Challenges</x:v>
      </x:c>
      <x:c r="E112" s="11" t="str">
        <x:v>cross-stage capability</x:v>
      </x:c>
      <x:c r="F112" s="11" t="str">
        <x:v>multi-label</x:v>
      </x:c>
      <x:c r="G112" s="11" t="str">
        <x:v>context aggregation / rule extraction;failure reuse / strategy update;feedback interpretation / loop adjustment;governance / human gates / disclosure control;tool routing / strategy routing;validation organization / evidence packaging</x:v>
      </x:c>
      <x:c r="H112" s="11" t="str">
        <x:v>context aggregation / rule extraction;failure reuse / strategy update;feedback interpretation / loop adjustment;tool routing / strategy routing;validation organization / evidence packaging</x:v>
      </x:c>
      <x:c r="I112" s="11" t="str">
        <x:v>source-linked lead</x:v>
      </x:c>
      <x:c r="J112" s="11" t="str">
        <x:v>https://arxiv.org/abs/2605.10074 | Paper pp. 1–7 (AFuzz pipeline), pp. 7–12 (evaluation, Table 1/issue mappings and discussion). | excerpt pages 8</x:v>
      </x:c>
      <x:c r="K112" s="11" t="str">
        <x:v>[p.8] ID Status 1 480788626 Type Confusion in MegaDOM IC 450328966 Fixed 2†∗481074858 Integer Truncation in Turboshaft PhiOp input_count via WASM br_table 444048019 Fixed 3 484300742 TOCTOU Race During [REDACTED] 427600180 Duplicate 4†484789568 Missing Guard in [REDACTED] 458090625 Fixed 5 485281841 Sandbox Escape via [REDACTED] 458679941 Duplicate 6⋄496807872 Signed Integer Overflow in [REDACTED] 444048019 Fixed 7 499659070 JIT Miscompilation via [REDACTED] 40088942 Fixed 8‡502030575 Incorrect [REDACTED] 40055069 Fixed 9 482083327 Signed Integer Overflow in parseInt via InternalStringToIntDouble 420697404 Reported 10 482199449 DCHECK Failure in Scope::ForceDynamicLookup via PreParser info_id_ Res</x:v>
      </x:c>
      <x:c r="L112" s="16" t="str">
        <x:v>A source-linked excerpt and locator are supplied as review leads; the cited source and locator should be retained for auditability.</x:v>
      </x:c>
      <x:c r="M112" s="16" t="str">
        <x:v>Require an explicit cross-stage connection. Information must guide later action; feedback must alter later action; packaging must assemble prior outputs; governance must enforce an actual gate.</x:v>
      </x:c>
      <x:c r="N112" s="16" t="str">
        <x:v>context aggregation / rule extraction;tool routing / strategy routing;feedback interpretation / loop adjustment;validation organization / evidence packaging;failure reuse / strategy update;governance / human gates / disclosure control</x:v>
      </x:c>
      <x:c r="O112" s="16" t="str">
        <x:v>The cited source supports the selected label context aggregation / rule extraction;tool routing / strategy routing;feedback interpretation / loop adjustment;validation organization / evidence packaging;failure reuse / strategy update;governance / human gates / disclosure control; each retained label requires an explicit connection that guides later action, feedback, packaging, or a gate.</x:v>
      </x:c>
      <x:c r="P112" s="16" t="str">
        <x:v>https://arxiv.org/abs/2605.10074 | Paper pp. 1–7 (AFuzz pipeline), pp. 7–12 (evaluation, Table 1/issue mappings and discussion). | excerpt pages 8</x:v>
      </x:c>
      <x:c r="Q112" s="16" t="str">
        <x:v>no</x:v>
      </x:c>
      <x:c r="R112" s="11" t="str"/>
      <x:c r="S112" s="11" t="str">
        <x:v>2026-08-12</x:v>
      </x:c>
      <x:c r="T112" s="18" t="str">
        <x:f>IF(OR(AND(N112="unresolved",LEN(O112)&gt;0,LEN(P112)&gt;0,Q112="yes"),AND(LEN(N112)&gt;0,LEN(O112)&gt;0,LEN(P112)&gt;0,OR(Q112="yes",Q112="no"))),"ready","pending")</x:f>
        <x:v>ready</x:v>
      </x:c>
    </x:row>
    <x:row r="113" ht="44" customHeight="1">
      <x:c r="A113" s="10" t="str">
        <x:v>U15__lifecycle</x:v>
      </x:c>
      <x:c r="B113" s="11" t="str">
        <x:v>U15</x:v>
      </x:c>
      <x:c r="C113" s="11" t="str">
        <x:v>released_67</x:v>
      </x:c>
      <x:c r="D113" s="11" t="str">
        <x:v>Root-Cause-Driven Automated Vulnerability Repair</x:v>
      </x:c>
      <x:c r="E113" s="11" t="str">
        <x:v>lifecycle coverage</x:v>
      </x:c>
      <x:c r="F113" s="11" t="str">
        <x:v>multi-label</x:v>
      </x:c>
      <x:c r="G113" s="11" t="str">
        <x:v>candidate analysis;execution observation;patch validation;path and input exploration</x:v>
      </x:c>
      <x:c r="H113" s="11" t="str">
        <x:v>candidate analysis;execution observation;patch validation;path and input exploration;reproduction and validation</x:v>
      </x:c>
      <x:c r="I113" s="11" t="str">
        <x:v>source-linked lead</x:v>
      </x:c>
      <x:c r="J113" s="11" t="str">
        <x:v>https://arxiv.org/abs/2605.04251 | Paper pp. 1–6 (root-cause repair design), pp. 6–12 (patching/comprehensiveness/quality evaluation), and p. 13 (conclusion). | excerpt pages 2, 3</x:v>
      </x:c>
      <x:c r="K113" s="11" t="str">
        <x:v>[p.2] An alternative is to rely on replay-based oracles [ 24], which re-execute the original PoC and developer test suites to verify that a patch suppresses the observed crash while preserving existing functionality. [p.3] PoC replay checks if the reported crash no longer reproduces after the patch has been applied [ 34, 56].</x:v>
      </x:c>
      <x:c r="L113" s="16" t="str">
        <x:v>A source-linked excerpt and locator are supplied as review leads; the cited source and locator should be retained for auditability.</x:v>
      </x:c>
      <x:c r="M113" s="16" t="str">
        <x:v>Mark only observable lifecycle actions or outputs. Reporting and audit requires explicit packaging, routing, disclosure, or audit transition; a report name alone is insufficient.</x:v>
      </x:c>
      <x:c r="N113" s="16" t="str">
        <x:v>candidate analysis;path and input exploration;execution observation;patch validation</x:v>
      </x:c>
      <x:c r="O113" s="16" t="str">
        <x:v>The cited source supports the selected label candidate analysis;path and input exploration;execution observation;patch validation; only observable workflow actions or outputs were retained.</x:v>
      </x:c>
      <x:c r="P113" s="16" t="str">
        <x:v>https://arxiv.org/abs/2605.04251 | Paper pp. 1–6 (root-cause repair design), pp. 6–12 (patching/comprehensiveness/quality evaluation), and p. 13 (conclusion). | excerpt pages 2, 3</x:v>
      </x:c>
      <x:c r="Q113" s="16" t="str">
        <x:v>no</x:v>
      </x:c>
      <x:c r="R113" s="11" t="str"/>
      <x:c r="S113" s="11" t="str">
        <x:v>2026-08-12</x:v>
      </x:c>
      <x:c r="T113" s="18" t="str">
        <x:f>IF(OR(AND(N113="unresolved",LEN(O113)&gt;0,LEN(P113)&gt;0,Q113="yes"),AND(LEN(N113)&gt;0,LEN(O113)&gt;0,LEN(P113)&gt;0,OR(Q113="yes",Q113="no"))),"ready","pending")</x:f>
        <x:v>ready</x:v>
      </x:c>
    </x:row>
    <x:row r="114" ht="44" customHeight="1">
      <x:c r="A114" s="10" t="str">
        <x:v>U16__external_traceability</x:v>
      </x:c>
      <x:c r="B114" s="11" t="str">
        <x:v>U16</x:v>
      </x:c>
      <x:c r="C114" s="11" t="str">
        <x:v>released_67</x:v>
      </x:c>
      <x:c r="D114" s="11" t="str">
        <x:v>Generating Proof-of-Vulnerability Tests to Help Enhance the Security of Complex Software</x:v>
      </x:c>
      <x:c r="E114" s="11" t="str">
        <x:v>external traceability</x:v>
      </x:c>
      <x:c r="F114" s="11" t="str">
        <x:v>single-label</x:v>
      </x:c>
      <x:c r="G114" s="11" t="str">
        <x:v>benchmark ground truth / public material</x:v>
      </x:c>
      <x:c r="H114" s="11" t="str">
        <x:v>author-reported external clue</x:v>
      </x:c>
      <x:c r="I114" s="11" t="str">
        <x:v>source-linked lead</x:v>
      </x:c>
      <x:c r="J114" s="11" t="str">
        <x:v>https://arxiv.org/abs/2605.03956 | Paper pp. 1–5 (PoVSmith workflow), pp. 5–10 (evaluation and PR/CVE-request outcomes). | excerpt pages 2</x:v>
      </x:c>
      <x:c r="K114" s="11" t="str">
        <x:v>[p.2] For evaluation, we applied PoVSmith to a dataset of 33⟨𝐴𝑝𝑝, 𝐿𝑖𝑏⟩ Java program pairs, where each App depends on a vulnerable Lib and the vulnerabilities correspond to 20 CVE entries. [p.2] The Threat Model of Supply Chain Attacks.As illustrated in Figure 1, our threat model assumes that an adversary gets to know vulnerabilities in Libs through (1) contributing flawed code to open-source projects, (2) inspecting library implementation, or (3) consulting publicly available vulnerability databases like CVE and NVD [78].</x:v>
      </x:c>
      <x:c r="L114" s="16" t="str">
        <x:v>A source-linked excerpt and locator are supplied as review leads; the cited source and locator should be retained for auditability.</x:v>
      </x:c>
      <x:c r="M114" s="16" t="str">
        <x:v>Code separately from principal output. Only item-level alignment between a concrete system result and a specific public external record qualifies as publicly aligned external trace.</x:v>
      </x:c>
      <x:c r="N114" s="16" t="str">
        <x:v>benchmark ground truth / public material</x:v>
      </x:c>
      <x:c r="O114" s="16" t="str">
        <x:v>The cited source supports the selected label benchmark ground truth / public material under the codebook's item-level public-record alignment criterion.</x:v>
      </x:c>
      <x:c r="P114" s="16" t="str">
        <x:v>https://arxiv.org/abs/2605.03956 | Paper pp. 1–5 (PoVSmith workflow), pp. 5–10 (evaluation and PR/CVE-request outcomes). | excerpt pages 2</x:v>
      </x:c>
      <x:c r="Q114" s="16" t="str">
        <x:v>no</x:v>
      </x:c>
      <x:c r="R114" s="11" t="str"/>
      <x:c r="S114" s="11" t="str">
        <x:v>2026-08-12</x:v>
      </x:c>
      <x:c r="T114" s="18" t="str">
        <x:f>IF(OR(AND(N114="unresolved",LEN(O114)&gt;0,LEN(P114)&gt;0,Q114="yes"),AND(LEN(N114)&gt;0,LEN(O114)&gt;0,LEN(P114)&gt;0,OR(Q114="yes",Q114="no"))),"ready","pending")</x:f>
        <x:v>ready</x:v>
      </x:c>
    </x:row>
    <x:row r="115" ht="44" customHeight="1">
      <x:c r="A115" s="10" t="str">
        <x:v>U18__capability</x:v>
      </x:c>
      <x:c r="B115" s="11" t="str">
        <x:v>U18</x:v>
      </x:c>
      <x:c r="C115" s="11" t="str">
        <x:v>released_67</x:v>
      </x:c>
      <x:c r="D115" s="11" t="str">
        <x:v>APIOT: Autonomous Vulnerability Management Across Bare-Metal Industrial OT Networks</x:v>
      </x:c>
      <x:c r="E115" s="11" t="str">
        <x:v>cross-stage capability</x:v>
      </x:c>
      <x:c r="F115" s="11" t="str">
        <x:v>multi-label</x:v>
      </x:c>
      <x:c r="G115" s="11" t="str">
        <x:v>feedback interpretation / loop adjustment;governance / human gates / disclosure control;long-horizon state management;tool routing / strategy routing;validation organization / evidence packaging</x:v>
      </x:c>
      <x:c r="H115" s="11" t="str">
        <x:v>context aggregation / rule extraction;feedback interpretation / loop adjustment;governance / human gates / disclosure control;long-horizon state management;tool routing / strategy routing;validation organization / evidence packaging</x:v>
      </x:c>
      <x:c r="I115" s="11" t="str">
        <x:v>source-linked lead</x:v>
      </x:c>
      <x:c r="J115" s="11" t="str">
        <x:v>https://arxiv.org/abs/2605.02346 | Paper pp. 1–7 (APIOT mission cycle and controls), pp. 7–16 (290-run evaluation and patch verification), and pp. 16–17 (limitations/tools). | excerpt pages 2</x:v>
      </x:c>
      <x:c r="K115" s="11" t="str">
        <x:v>[p.2] APIOT gives the agent access to low-level protocol primitivesratherthannamedexploits,requiringittoreasonaboutprotocolfields and parser behaviour, and includes an overseer runtime governance layer that enforces reliability through rule-based guardrails. [p.2] We ask whether an overseer runtime governance layer (rule-based guardrails with optional LLM-based advisory steering) is sufficient to achieve reliable mission completion without fine-tuning, and how large the performance loss is when the overseer is removed.</x:v>
      </x:c>
      <x:c r="L115" s="16" t="str">
        <x:v>A source-linked excerpt and locator are supplied as review leads; the cited source and locator should be retained for auditability.</x:v>
      </x:c>
      <x:c r="M115" s="16" t="str">
        <x:v>Require an explicit cross-stage connection. Information must guide later action; feedback must alter later action; packaging must assemble prior outputs; governance must enforce an actual gate.</x:v>
      </x:c>
      <x:c r="N115" s="16" t="str">
        <x:v>tool routing / strategy routing;feedback interpretation / loop adjustment;validation organization / evidence packaging;long-horizon state management;governance / human gates / disclosure control</x:v>
      </x:c>
      <x:c r="O115" s="16" t="str">
        <x:v>The cited source supports the selected label tool routing / strategy routing;feedback interpretation / loop adjustment;validation organization / evidence packaging;long-horizon state management;governance / human gates / disclosure control; each retained label requires an explicit connection that guides later action, feedback, packaging, or a gate.</x:v>
      </x:c>
      <x:c r="P115" s="16" t="str">
        <x:v>https://arxiv.org/abs/2605.02346 | Paper pp. 1–7 (APIOT mission cycle and controls), pp. 7–16 (290-run evaluation and patch verification), and pp. 16–17 (limitations/tools). | excerpt pages 2</x:v>
      </x:c>
      <x:c r="Q115" s="16" t="str">
        <x:v>no</x:v>
      </x:c>
      <x:c r="R115" s="11" t="str"/>
      <x:c r="S115" s="11" t="str">
        <x:v>2026-08-12</x:v>
      </x:c>
      <x:c r="T115" s="18" t="str">
        <x:f>IF(OR(AND(N115="unresolved",LEN(O115)&gt;0,LEN(P115)&gt;0,Q115="yes"),AND(LEN(N115)&gt;0,LEN(O115)&gt;0,LEN(P115)&gt;0,OR(Q115="yes",Q115="no"))),"ready","pending")</x:f>
        <x:v>ready</x:v>
      </x:c>
    </x:row>
    <x:row r="116" ht="44" customHeight="1">
      <x:c r="A116" s="10" t="str">
        <x:v>U18__external_traceability</x:v>
      </x:c>
      <x:c r="B116" s="11" t="str">
        <x:v>U18</x:v>
      </x:c>
      <x:c r="C116" s="11" t="str">
        <x:v>released_67</x:v>
      </x:c>
      <x:c r="D116" s="11" t="str">
        <x:v>APIOT: Autonomous Vulnerability Management Across Bare-Metal Industrial OT Networks</x:v>
      </x:c>
      <x:c r="E116" s="11" t="str">
        <x:v>external traceability</x:v>
      </x:c>
      <x:c r="F116" s="11" t="str">
        <x:v>single-label</x:v>
      </x:c>
      <x:c r="G116" s="11" t="str">
        <x:v>benchmark ground truth / public material</x:v>
      </x:c>
      <x:c r="H116" s="11" t="str">
        <x:v>no external trace reported</x:v>
      </x:c>
      <x:c r="I116" s="11" t="str">
        <x:v>source-linked lead</x:v>
      </x:c>
      <x:c r="J116" s="11" t="str">
        <x:v>https://arxiv.org/abs/2605.02346 | Paper pp. 1–7 (APIOT mission cycle and controls), pp. 7–16 (290-run evaluation and patch verification), and pp. 16–17 (limitations/tools). | excerpt pages 4, 16</x:v>
      </x:c>
      <x:c r="K116" s="11" t="str">
        <x:v>[p.4] Fang et al. [11] showed that GPT-4 agents could autonomously exploit 87% of one-day CVEs given the vulnerability descriptions, extending autonomous exploitation to real-world CVE databases. [p.16] A key insight is that in 100% of overseer-OFF runs, at least one exploit call was not immediately followed by crash verification, not because the agent could notperform crash verification, but because without an external invariant enforcing the sequence, it would issue additional probes or transition between phases before confirming crash state.</x:v>
      </x:c>
      <x:c r="L116" s="16" t="str">
        <x:v>A source-linked excerpt and locator are supplied as review leads; the cited source and locator should be retained for auditability.</x:v>
      </x:c>
      <x:c r="M116" s="16" t="str">
        <x:v>Code separately from principal output. Only item-level alignment between a concrete system result and a specific public external record qualifies as publicly aligned external trace.</x:v>
      </x:c>
      <x:c r="N116" s="16" t="str">
        <x:v>benchmark ground truth / public material</x:v>
      </x:c>
      <x:c r="O116" s="16" t="str">
        <x:v>The cited source supports the selected label benchmark ground truth / public material under the codebook's item-level public-record alignment criterion.</x:v>
      </x:c>
      <x:c r="P116" s="16" t="str">
        <x:v>https://arxiv.org/abs/2605.02346 | Paper pp. 1–7 (APIOT mission cycle and controls), pp. 7–16 (290-run evaluation and patch verification), and pp. 16–17 (limitations/tools). | excerpt pages 4, 16</x:v>
      </x:c>
      <x:c r="Q116" s="16" t="str">
        <x:v>no</x:v>
      </x:c>
      <x:c r="R116" s="11" t="str"/>
      <x:c r="S116" s="11" t="str">
        <x:v>2026-08-12</x:v>
      </x:c>
      <x:c r="T116" s="18" t="str">
        <x:f>IF(OR(AND(N116="unresolved",LEN(O116)&gt;0,LEN(P116)&gt;0,Q116="yes"),AND(LEN(N116)&gt;0,LEN(O116)&gt;0,LEN(P116)&gt;0,OR(Q116="yes",Q116="no"))),"ready","pending")</x:f>
        <x:v>ready</x:v>
      </x:c>
    </x:row>
    <x:row r="117" ht="44" customHeight="1">
      <x:c r="A117" s="10" t="str">
        <x:v>U21__lifecycle</x:v>
      </x:c>
      <x:c r="B117" s="11" t="str">
        <x:v>U21</x:v>
      </x:c>
      <x:c r="C117" s="11" t="str">
        <x:v>released_67</x:v>
      </x:c>
      <x:c r="D117" s="11" t="str">
        <x:v>Symbolic Execution Meets Multi-LLM Orchestration: Detecting Memory Vulnerabilities in Incomplete Rust CVE Snippets</x:v>
      </x:c>
      <x:c r="E117" s="11" t="str">
        <x:v>lifecycle coverage</x:v>
      </x:c>
      <x:c r="F117" s="11" t="str">
        <x:v>multi-label</x:v>
      </x:c>
      <x:c r="G117" s="11" t="str">
        <x:v>candidate analysis;execution observation;path and input exploration</x:v>
      </x:c>
      <x:c r="H117" s="11" t="str">
        <x:v>candidate analysis;execution observation;path and input exploration;reporting and audit</x:v>
      </x:c>
      <x:c r="I117" s="11" t="str">
        <x:v>source-linked lead</x:v>
      </x:c>
      <x:c r="J117" s="11" t="str">
        <x:v>https://arxiv.org/abs/2605.00034 | Paper pp. 1–6 (four-agent/KLEE pipeline), pp. 6–10 (evaluation, graph artifacts and limitations). | excerpt pages 2</x:v>
      </x:c>
      <x:c r="K117" s="11" t="str">
        <x:v>[p.2] Report Graph DB graph_klee.py Analysis Plan (JSON) Risk Assessment (JSON) FFI Wrapper (.rs) C Wrapper (.c) KLEE Params (JSON) Figure 1: 4-Agent Pipeline Overview. [p.2] To our knowledge, this is the first automated system capable of running KLEE symbolic execution on isolated Rust CVE snip- pets that lack struct definitions, imports, and Cargo context— achieving 90.3% compilation success where all state-of-the-art formal verification tools achieve 0% and no prior system has reported any success. • First multi-agent LLM architecture for Rust CVE analysis.</x:v>
      </x:c>
      <x:c r="L117" s="16" t="str">
        <x:v>A source-linked excerpt and locator are supplied as review leads; the cited source and locator should be retained for auditability.</x:v>
      </x:c>
      <x:c r="M117" s="16" t="str">
        <x:v>Mark only observable lifecycle actions or outputs. Reporting and audit requires explicit packaging, routing, disclosure, or audit transition; a report name alone is insufficient.</x:v>
      </x:c>
      <x:c r="N117" s="16" t="str">
        <x:v>candidate analysis;path and input exploration;execution observation</x:v>
      </x:c>
      <x:c r="O117" s="16" t="str">
        <x:v>The cited source supports the selected label candidate analysis;path and input exploration;execution observation; only observable workflow actions or outputs were retained.</x:v>
      </x:c>
      <x:c r="P117" s="16" t="str">
        <x:v>https://arxiv.org/abs/2605.00034 | Paper pp. 1–6 (four-agent/KLEE pipeline), pp. 6–10 (evaluation, graph artifacts and limitations). | excerpt pages 2</x:v>
      </x:c>
      <x:c r="Q117" s="16" t="str">
        <x:v>no</x:v>
      </x:c>
      <x:c r="R117" s="11" t="str"/>
      <x:c r="S117" s="11" t="str">
        <x:v>2026-08-12</x:v>
      </x:c>
      <x:c r="T117" s="18" t="str">
        <x:f>IF(OR(AND(N117="unresolved",LEN(O117)&gt;0,LEN(P117)&gt;0,Q117="yes"),AND(LEN(N117)&gt;0,LEN(O117)&gt;0,LEN(P117)&gt;0,OR(Q117="yes",Q117="no"))),"ready","pending")</x:f>
        <x:v>ready</x:v>
      </x:c>
    </x:row>
    <x:row r="118" ht="44" customHeight="1">
      <x:c r="A118" s="10" t="str">
        <x:v>U21__primary_shape</x:v>
      </x:c>
      <x:c r="B118" s="11" t="str">
        <x:v>U21</x:v>
      </x:c>
      <x:c r="C118" s="11" t="str">
        <x:v>released_67</x:v>
      </x:c>
      <x:c r="D118" s="11" t="str">
        <x:v>Symbolic Execution Meets Multi-LLM Orchestration: Detecting Memory Vulnerabilities in Incomplete Rust CVE Snippets</x:v>
      </x:c>
      <x:c r="E118" s="11" t="str">
        <x:v>primary system shape</x:v>
      </x:c>
      <x:c r="F118" s="11" t="str">
        <x:v>single-label</x:v>
      </x:c>
      <x:c r="G118" s="11" t="str">
        <x:v>candidate-analysis system</x:v>
      </x:c>
      <x:c r="H118" s="11" t="str">
        <x:v>reproduction-, validation-, and repair-centered agent</x:v>
      </x:c>
      <x:c r="I118" s="11" t="str">
        <x:v>source-linked lead</x:v>
      </x:c>
      <x:c r="J118" s="11" t="str">
        <x:v>https://arxiv.org/abs/2605.00034 | Paper pp. 1–6 (four-agent/KLEE pipeline), pp. 6–10 (evaluation, graph artifacts and limitations). | excerpt pages 4, 3</x:v>
      </x:c>
      <x:c r="K118" s="11" t="str">
        <x:v>[p.4] VulnFix [ 29] uses symbolic execution for patch validation, complementing our use of symbolic execution for initial detection. [p.3] No lint rule can detect this without reasoning about the relationship between length and capacity at runtime—precisely the kind of reasoning that requires execution- level analysis.</x:v>
      </x:c>
      <x:c r="L118" s="16" t="str">
        <x:v>A source-linked excerpt and locator are supplied as review leads; the cited source and locator should be retained for auditability.</x:v>
      </x:c>
      <x:c r="M118" s="16" t="str">
        <x:v>Choose the dominant locus and objective of agent control in the main evaluated contribution. Use the evaluation task and primary metrics to resolve ties; do not infer from agent count or system name.</x:v>
      </x:c>
      <x:c r="N118" s="16" t="str">
        <x:v>candidate-analysis system</x:v>
      </x:c>
      <x:c r="O118" s="16" t="str">
        <x:v>The cited source supports the selected label candidate-analysis system as the dominant evaluated locus and objective of agent control.</x:v>
      </x:c>
      <x:c r="P118" s="16" t="str">
        <x:v>https://arxiv.org/abs/2605.00034 | Paper pp. 1–6 (four-agent/KLEE pipeline), pp. 6–10 (evaluation, graph artifacts and limitations). | excerpt pages 4, 3</x:v>
      </x:c>
      <x:c r="Q118" s="16" t="str">
        <x:v>no</x:v>
      </x:c>
      <x:c r="R118" s="11" t="str"/>
      <x:c r="S118" s="11" t="str">
        <x:v>2026-08-12</x:v>
      </x:c>
      <x:c r="T118" s="18" t="str">
        <x:f>IF(OR(AND(N118="unresolved",LEN(O118)&gt;0,LEN(P118)&gt;0,Q118="yes"),AND(LEN(N118)&gt;0,LEN(O118)&gt;0,LEN(P118)&gt;0,OR(Q118="yes",Q118="no"))),"ready","pending")</x:f>
        <x:v>ready</x:v>
      </x:c>
    </x:row>
    <x:row r="119" ht="44" customHeight="1">
      <x:c r="A119" s="10" t="str">
        <x:v>U21__principal_evidence</x:v>
      </x:c>
      <x:c r="B119" s="11" t="str">
        <x:v>U21</x:v>
      </x:c>
      <x:c r="C119" s="11" t="str">
        <x:v>released_67</x:v>
      </x:c>
      <x:c r="D119" s="11" t="str">
        <x:v>Symbolic Execution Meets Multi-LLM Orchestration: Detecting Memory Vulnerabilities in Incomplete Rust CVE Snippets</x:v>
      </x:c>
      <x:c r="E119" s="11" t="str">
        <x:v>principal reported evidence output</x:v>
      </x:c>
      <x:c r="F119" s="11" t="str">
        <x:v>single-label</x:v>
      </x:c>
      <x:c r="G119" s="11" t="str">
        <x:v>reproducible validation</x:v>
      </x:c>
      <x:c r="H119" s="11" t="str">
        <x:v>controlled task completion</x:v>
      </x:c>
      <x:c r="I119" s="11" t="str">
        <x:v>source-linked lead</x:v>
      </x:c>
      <x:c r="J119" s="11" t="str">
        <x:v>https://arxiv.org/abs/2605.00034 | Paper pp. 1–6 (four-agent/KLEE pipeline), pp. 6–10 (evaluation, graph artifacts and limitations). | excerpt pages 4, 1</x:v>
      </x:c>
      <x:c r="K119" s="11" t="str">
        <x:v>[p.4] VulnFix [ 29] uses symbolic execution for patch validation, complementing our use of symbolic execution for initial detection. [p.1] Specifically, we ask whether KLEE can flag at least one critical error in each CVE file across 11 CWE categories. arXiv:2605.00034v1 [cs.CR] 28 Apr 2026</x:v>
      </x:c>
      <x:c r="L119" s="16" t="str">
        <x:v>A source-linked excerpt and locator are supplied as review leads; the cited source and locator should be retained for auditability.</x:v>
      </x:c>
      <x:c r="M119" s="16" t="str">
        <x:v>Select the observable result most directly supporting the main finding. Benchmark ground truth or aggregate CVE counts do not automatically establish externally traceable material.</x:v>
      </x:c>
      <x:c r="N119" s="16" t="str">
        <x:v>reproducible validation</x:v>
      </x:c>
      <x:c r="O119" s="16" t="str">
        <x:v>The cited source supports the selected label reproducible validation as the main observable result reported for the study.</x:v>
      </x:c>
      <x:c r="P119" s="16" t="str">
        <x:v>https://arxiv.org/abs/2605.00034 | Paper pp. 1–6 (four-agent/KLEE pipeline), pp. 6–10 (evaluation, graph artifacts and limitations). | excerpt pages 4, 1</x:v>
      </x:c>
      <x:c r="Q119" s="16" t="str">
        <x:v>no</x:v>
      </x:c>
      <x:c r="R119" s="11" t="str"/>
      <x:c r="S119" s="11" t="str">
        <x:v>2026-08-12</x:v>
      </x:c>
      <x:c r="T119" s="18" t="str">
        <x:f>IF(OR(AND(N119="unresolved",LEN(O119)&gt;0,LEN(P119)&gt;0,Q119="yes"),AND(LEN(N119)&gt;0,LEN(O119)&gt;0,LEN(P119)&gt;0,OR(Q119="yes",Q119="no"))),"ready","pending")</x:f>
        <x:v>ready</x:v>
      </x:c>
    </x:row>
    <x:row r="120" ht="44" customHeight="1">
      <x:c r="A120" s="10" t="str">
        <x:v>U22__lifecycle</x:v>
      </x:c>
      <x:c r="B120" s="11" t="str">
        <x:v>U22</x:v>
      </x:c>
      <x:c r="C120" s="11" t="str">
        <x:v>released_67</x:v>
      </x:c>
      <x:c r="D120" s="11" t="str">
        <x:v>Automation-Exploit: A Multi-Agent LLM Framework for Adaptive Offensive Security with Digital Twin-Based Risk-Mitigated Exploitation</x:v>
      </x:c>
      <x:c r="E120" s="11" t="str">
        <x:v>lifecycle coverage</x:v>
      </x:c>
      <x:c r="F120" s="11" t="str">
        <x:v>multi-label</x:v>
      </x:c>
      <x:c r="G120" s="11" t="str">
        <x:v>candidate analysis;execution observation;path and input exploration;reproduction and validation</x:v>
      </x:c>
      <x:c r="H120" s="11" t="str">
        <x:v>candidate analysis;execution observation;path and input exploration;reporting and audit;reproduction and validation</x:v>
      </x:c>
      <x:c r="I120" s="11" t="str">
        <x:v>source-linked lead</x:v>
      </x:c>
      <x:c r="J120" s="11" t="str">
        <x:v>https://arxiv.org/abs/2604.22427 | Paper pp. 1–14 (adaptive safety architecture and digital twin), pp. 14–22 (scenario evaluation and reproducibility). | excerpt pages 22, 3</x:v>
      </x:c>
      <x:c r="K120" s="11" t="str">
        <x:v>[p.22] Crucially, the Two-Stage Adversarial Auditing protocol significantly reduces false positives stemming from generative hallucinations [3] by strictly cross-referencing payload executions with deterministic forensic telemetry, ensuring only factually verified compromises are reported. [p.3] The framework further overcomes intrinsic LLM limitations through an Adversarial Hand-off mechanism that bypasses cloud API safety alignment, an Adaptive Pruning mechanism via a Navigator agent that dynamically truncates fruitless attack vectors, and a Two-Stage Adversarial Auditing protocol that significantly reduces false positives from generative hallucinations.</x:v>
      </x:c>
      <x:c r="L120" s="16" t="str">
        <x:v>A source-linked excerpt and locator are supplied as review leads; the cited source and locator should be retained for auditability.</x:v>
      </x:c>
      <x:c r="M120" s="16" t="str">
        <x:v>Mark only observable lifecycle actions or outputs. Reporting and audit requires explicit packaging, routing, disclosure, or audit transition; a report name alone is insufficient.</x:v>
      </x:c>
      <x:c r="N120" s="16" t="str">
        <x:v>candidate analysis;path and input exploration;execution observation;reproduction and validation</x:v>
      </x:c>
      <x:c r="O120" s="16" t="str">
        <x:v>The cited source supports the selected label candidate analysis;path and input exploration;execution observation;reproduction and validation; only observable workflow actions or outputs were retained.</x:v>
      </x:c>
      <x:c r="P120" s="16" t="str">
        <x:v>https://arxiv.org/abs/2604.22427 | Paper pp. 1–14 (adaptive safety architecture and digital twin), pp. 14–22 (scenario evaluation and reproducibility). | excerpt pages 22, 3</x:v>
      </x:c>
      <x:c r="Q120" s="16" t="str">
        <x:v>no</x:v>
      </x:c>
      <x:c r="R120" s="11" t="str"/>
      <x:c r="S120" s="11" t="str">
        <x:v>2026-08-12</x:v>
      </x:c>
      <x:c r="T120" s="18" t="str">
        <x:f>IF(OR(AND(N120="unresolved",LEN(O120)&gt;0,LEN(P120)&gt;0,Q120="yes"),AND(LEN(N120)&gt;0,LEN(O120)&gt;0,LEN(P120)&gt;0,OR(Q120="yes",Q120="no"))),"ready","pending")</x:f>
        <x:v>ready</x:v>
      </x:c>
    </x:row>
    <x:row r="121" ht="44" customHeight="1">
      <x:c r="A121" s="10" t="str">
        <x:v>U22__capability</x:v>
      </x:c>
      <x:c r="B121" s="11" t="str">
        <x:v>U22</x:v>
      </x:c>
      <x:c r="C121" s="11" t="str">
        <x:v>released_67</x:v>
      </x:c>
      <x:c r="D121" s="11" t="str">
        <x:v>Automation-Exploit: A Multi-Agent LLM Framework for Adaptive Offensive Security with Digital Twin-Based Risk-Mitigated Exploitation</x:v>
      </x:c>
      <x:c r="E121" s="11" t="str">
        <x:v>cross-stage capability</x:v>
      </x:c>
      <x:c r="F121" s="11" t="str">
        <x:v>multi-label</x:v>
      </x:c>
      <x:c r="G121" s="11" t="str">
        <x:v>feedback interpretation / loop adjustment;governance / human gates / disclosure control;long-horizon state management;tool routing / strategy routing;validation organization / evidence packaging</x:v>
      </x:c>
      <x:c r="H121" s="11" t="str">
        <x:v>context aggregation / rule extraction;feedback interpretation / loop adjustment;governance / human gates / disclosure control;long-horizon state management;tool routing / strategy routing;validation organization / evidence packaging</x:v>
      </x:c>
      <x:c r="I121" s="11" t="str">
        <x:v>source-linked lead</x:v>
      </x:c>
      <x:c r="J121" s="11" t="str">
        <x:v>https://arxiv.org/abs/2604.22427 | Paper pp. 1–14 (adaptive safety architecture and digital twin), pp. 14–22 (scenario evaluation and reproducibility). | excerpt pages 2</x:v>
      </x:c>
      <x:c r="K121" s="11" t="str">
        <x:v>[p.2] Automation-Exploit: Risk-Mitigated Exploitation via Digital Twins Nomenclature LLM Large Language Model MAS Multi-Agent System DOS Denial of Service AEG Automatic Exploit Generation ROI Return on Investment CTEM Continuous Threat Exposure Management VA Vulnerability Assessment PT Penetration Testing CVE Common Vulnerabilities and Exposures CPE Common Platform Enumeration NVD National Vulnerability Database CVSS Common Vulnerability Scoring System EPSS Exploit Prediction Scoring System COT Chain-of-Thought ICL In-Context Learning RLHF Reinforcement Learning from Human Feedback TAG Tool-Augmented Generation RAG Retrieval-Augmented Generation API Application Programming Interface CAPEC Common A</x:v>
      </x:c>
      <x:c r="L121" s="16" t="str">
        <x:v>A source-linked excerpt and locator are supplied as review leads; the cited source and locator should be retained for auditability.</x:v>
      </x:c>
      <x:c r="M121" s="16" t="str">
        <x:v>Require an explicit cross-stage connection. Information must guide later action; feedback must alter later action; packaging must assemble prior outputs; governance must enforce an actual gate.</x:v>
      </x:c>
      <x:c r="N121" s="16" t="str">
        <x:v>tool routing / strategy routing;feedback interpretation / loop adjustment;validation organization / evidence packaging;long-horizon state management;governance / human gates / disclosure control</x:v>
      </x:c>
      <x:c r="O121" s="16" t="str">
        <x:v>The cited source supports the selected label tool routing / strategy routing;feedback interpretation / loop adjustment;validation organization / evidence packaging;long-horizon state management;governance / human gates / disclosure control; each retained label requires an explicit connection that guides later action, feedback, packaging, or a gate.</x:v>
      </x:c>
      <x:c r="P121" s="16" t="str">
        <x:v>https://arxiv.org/abs/2604.22427 | Paper pp. 1–14 (adaptive safety architecture and digital twin), pp. 14–22 (scenario evaluation and reproducibility). | excerpt pages 2</x:v>
      </x:c>
      <x:c r="Q121" s="16" t="str">
        <x:v>no</x:v>
      </x:c>
      <x:c r="R121" s="11" t="str"/>
      <x:c r="S121" s="11" t="str">
        <x:v>2026-08-12</x:v>
      </x:c>
      <x:c r="T121" s="18" t="str">
        <x:f>IF(OR(AND(N121="unresolved",LEN(O121)&gt;0,LEN(P121)&gt;0,Q121="yes"),AND(LEN(N121)&gt;0,LEN(O121)&gt;0,LEN(P121)&gt;0,OR(Q121="yes",Q121="no"))),"ready","pending")</x:f>
        <x:v>ready</x:v>
      </x:c>
    </x:row>
    <x:row r="122" ht="44" customHeight="1">
      <x:c r="A122" s="10" t="str">
        <x:v>U23__lifecycle</x:v>
      </x:c>
      <x:c r="B122" s="11" t="str">
        <x:v>U23</x:v>
      </x:c>
      <x:c r="C122" s="11" t="str">
        <x:v>released_67</x:v>
      </x:c>
      <x:c r="D122" s="11" t="str">
        <x:v>Towards Optimal Agentic Architectures for Offensive Security Tasks</x:v>
      </x:c>
      <x:c r="E122" s="11" t="str">
        <x:v>lifecycle coverage</x:v>
      </x:c>
      <x:c r="F122" s="11" t="str">
        <x:v>multi-label</x:v>
      </x:c>
      <x:c r="G122" s="11" t="str">
        <x:v>candidate analysis;execution observation;path and input exploration;reproduction and validation</x:v>
      </x:c>
      <x:c r="H122" s="11" t="str">
        <x:v>candidate analysis;execution observation;path and input exploration;reporting and audit;reproduction and validation</x:v>
      </x:c>
      <x:c r="I122" s="11" t="str">
        <x:v>source-linked lead</x:v>
      </x:c>
      <x:c r="J122" s="11" t="str">
        <x:v>https://arxiv.org/abs/2604.18718 | Paper pp. 1–6 (architecture families and validator), pp. 6–9 (600-run results), and appendices pp. 15–17 (prompts/PoC validation). | excerpt pages 1, 2</x:v>
      </x:c>
      <x:c r="K122" s="11" t="str">
        <x:v>[p.1] Prior systems such as PentestGPT and MAPTA showed that tool-using LLM agents can perform meaningful security auditing, but they package a single scaffold rather than isolating topology choice as the object of study [4, 3]. [p.2] 25.3%). • A benchmark-wide cost-quality analysis showing a non-monotonic frontier: MAS-Indep is the strongest validated detector at 64.2%, while SAS is the efficiency baseline at $0.058 per validated finding and 53.0s median time-to-first-validation; a separate 60-run long-context pilot is reported only in the appendix.</x:v>
      </x:c>
      <x:c r="L122" s="16" t="str">
        <x:v>A source-linked excerpt and locator are supplied as review leads; the cited source and locator should be retained for auditability.</x:v>
      </x:c>
      <x:c r="M122" s="16" t="str">
        <x:v>Mark only observable lifecycle actions or outputs. Reporting and audit requires explicit packaging, routing, disclosure, or audit transition; a report name alone is insufficient.</x:v>
      </x:c>
      <x:c r="N122" s="16" t="str">
        <x:v>candidate analysis;path and input exploration;execution observation;reproduction and validation</x:v>
      </x:c>
      <x:c r="O122" s="16" t="str">
        <x:v>The cited source supports the selected label candidate analysis;path and input exploration;execution observation;reproduction and validation; only observable workflow actions or outputs were retained.</x:v>
      </x:c>
      <x:c r="P122" s="16" t="str">
        <x:v>https://arxiv.org/abs/2604.18718 | Paper pp. 1–6 (architecture families and validator), pp. 6–9 (600-run results), and appendices pp. 15–17 (prompts/PoC validation). | excerpt pages 1, 2</x:v>
      </x:c>
      <x:c r="Q122" s="16" t="str">
        <x:v>no</x:v>
      </x:c>
      <x:c r="R122" s="11" t="str"/>
      <x:c r="S122" s="11" t="str">
        <x:v>2026-08-12</x:v>
      </x:c>
      <x:c r="T122" s="18" t="str">
        <x:f>IF(OR(AND(N122="unresolved",LEN(O122)&gt;0,LEN(P122)&gt;0,Q122="yes"),AND(LEN(N122)&gt;0,LEN(O122)&gt;0,LEN(P122)&gt;0,OR(Q122="yes",Q122="no"))),"ready","pending")</x:f>
        <x:v>ready</x:v>
      </x:c>
    </x:row>
    <x:row r="123" ht="44" customHeight="1">
      <x:c r="A123" s="10" t="str">
        <x:v>U25__lifecycle</x:v>
      </x:c>
      <x:c r="B123" s="11" t="str">
        <x:v>U25</x:v>
      </x:c>
      <x:c r="C123" s="11" t="str">
        <x:v>released_67</x:v>
      </x:c>
      <x:c r="D123" s="11" t="str">
        <x:v>V2E: Validating Smart Contract Vulnerabilities through Profit-driven Exploit Generation and Execution</x:v>
      </x:c>
      <x:c r="E123" s="11" t="str">
        <x:v>lifecycle coverage</x:v>
      </x:c>
      <x:c r="F123" s="11" t="str">
        <x:v>multi-label</x:v>
      </x:c>
      <x:c r="G123" s="11" t="str">
        <x:v>candidate analysis;execution observation;path and input exploration;reproduction and validation</x:v>
      </x:c>
      <x:c r="H123" s="11" t="str">
        <x:v>candidate analysis;execution observation;path and input exploration;reporting and audit;reproduction and validation</x:v>
      </x:c>
      <x:c r="I123" s="11" t="str">
        <x:v>source-linked lead</x:v>
      </x:c>
      <x:c r="J123" s="11" t="str">
        <x:v>https://arxiv.org/abs/2604.13611 | Paper pp. 1–9 (V2E design/workflow), pp. 12–20 (execution-based validation evaluation and case study). | excerpt pages 1, 2</x:v>
      </x:c>
      <x:c r="K123" s="11" t="str">
        <x:v>[p.1] Therefore, developers and auditors are often overwhelmed with manually verifying the reported issues. [p.2] Therefore, helping developers and auditors automatically verify the reported vulnerabilities is critically important, as it significantly accelerates vulnerability response and remediation.</x:v>
      </x:c>
      <x:c r="L123" s="16" t="str">
        <x:v>A source-linked excerpt and locator are supplied as review leads; the cited source and locator should be retained for auditability.</x:v>
      </x:c>
      <x:c r="M123" s="16" t="str">
        <x:v>Mark only observable lifecycle actions or outputs. Reporting and audit requires explicit packaging, routing, disclosure, or audit transition; a report name alone is insufficient.</x:v>
      </x:c>
      <x:c r="N123" s="16" t="str">
        <x:v>candidate analysis;path and input exploration;execution observation;reproduction and validation</x:v>
      </x:c>
      <x:c r="O123" s="16" t="str">
        <x:v>The cited source supports the selected label candidate analysis;path and input exploration;execution observation;reproduction and validation; only observable workflow actions or outputs were retained.</x:v>
      </x:c>
      <x:c r="P123" s="16" t="str">
        <x:v>https://arxiv.org/abs/2604.13611 | Paper pp. 1–9 (V2E design/workflow), pp. 12–20 (execution-based validation evaluation and case study). | excerpt pages 1, 2</x:v>
      </x:c>
      <x:c r="Q123" s="16" t="str">
        <x:v>no</x:v>
      </x:c>
      <x:c r="R123" s="11" t="str"/>
      <x:c r="S123" s="11" t="str">
        <x:v>2026-08-12</x:v>
      </x:c>
      <x:c r="T123" s="18" t="str">
        <x:f>IF(OR(AND(N123="unresolved",LEN(O123)&gt;0,LEN(P123)&gt;0,Q123="yes"),AND(LEN(N123)&gt;0,LEN(O123)&gt;0,LEN(P123)&gt;0,OR(Q123="yes",Q123="no"))),"ready","pending")</x:f>
        <x:v>ready</x:v>
      </x:c>
    </x:row>
    <x:row r="124" ht="44" customHeight="1">
      <x:c r="A124" s="10" t="str">
        <x:v>U25__capability</x:v>
      </x:c>
      <x:c r="B124" s="11" t="str">
        <x:v>U25</x:v>
      </x:c>
      <x:c r="C124" s="11" t="str">
        <x:v>released_67</x:v>
      </x:c>
      <x:c r="D124" s="11" t="str">
        <x:v>V2E: Validating Smart Contract Vulnerabilities through Profit-driven Exploit Generation and Execution</x:v>
      </x:c>
      <x:c r="E124" s="11" t="str">
        <x:v>cross-stage capability</x:v>
      </x:c>
      <x:c r="F124" s="11" t="str">
        <x:v>multi-label</x:v>
      </x:c>
      <x:c r="G124" s="11" t="str">
        <x:v>context aggregation / rule extraction;failure reuse / strategy update;feedback interpretation / loop adjustment;validation organization / evidence packaging</x:v>
      </x:c>
      <x:c r="H124" s="11" t="str">
        <x:v>context aggregation / rule extraction;feedback interpretation / loop adjustment;tool routing / strategy routing;validation organization / evidence packaging</x:v>
      </x:c>
      <x:c r="I124" s="11" t="str">
        <x:v>source-linked lead</x:v>
      </x:c>
      <x:c r="J124" s="11" t="str">
        <x:v>https://arxiv.org/abs/2604.13611 | Paper pp. 1–9 (V2E design/workflow), pp. 12–20 (execution-based validation evaluation and case study). | excerpt pages 6, 17</x:v>
      </x:c>
      <x:c r="K124" s="11" t="str">
        <x:v>[p.6] In response, it iteratively analyzes the cause of the failure and updates the PoC. [p.17] Otherwise, we select corresponding primitive operations to update PoC based on the reason and the type of vulnerability.</x:v>
      </x:c>
      <x:c r="L124" s="16" t="str">
        <x:v>A source-linked excerpt and locator are supplied as review leads; the cited source and locator should be retained for auditability.</x:v>
      </x:c>
      <x:c r="M124" s="16" t="str">
        <x:v>Require an explicit cross-stage connection. Information must guide later action; feedback must alter later action; packaging must assemble prior outputs; governance must enforce an actual gate.</x:v>
      </x:c>
      <x:c r="N124" s="16" t="str">
        <x:v>context aggregation / rule extraction;feedback interpretation / loop adjustment;validation organization / evidence packaging;failure reuse / strategy update</x:v>
      </x:c>
      <x:c r="O124" s="16" t="str">
        <x:v>The cited source supports the selected label context aggregation / rule extraction;feedback interpretation / loop adjustment;validation organization / evidence packaging;failure reuse / strategy update; each retained label requires an explicit connection that guides later action, feedback, packaging, or a gate.</x:v>
      </x:c>
      <x:c r="P124" s="16" t="str">
        <x:v>https://arxiv.org/abs/2604.13611 | Paper pp. 1–9 (V2E design/workflow), pp. 12–20 (execution-based validation evaluation and case study). | excerpt pages 6, 17</x:v>
      </x:c>
      <x:c r="Q124" s="16" t="str">
        <x:v>no</x:v>
      </x:c>
      <x:c r="R124" s="11" t="str"/>
      <x:c r="S124" s="11" t="str">
        <x:v>2026-08-12</x:v>
      </x:c>
      <x:c r="T124" s="18" t="str">
        <x:f>IF(OR(AND(N124="unresolved",LEN(O124)&gt;0,LEN(P124)&gt;0,Q124="yes"),AND(LEN(N124)&gt;0,LEN(O124)&gt;0,LEN(P124)&gt;0,OR(Q124="yes",Q124="no"))),"ready","pending")</x:f>
        <x:v>ready</x:v>
      </x:c>
    </x:row>
    <x:row r="125" ht="44" customHeight="1">
      <x:c r="A125" s="10" t="str">
        <x:v>U26__lifecycle</x:v>
      </x:c>
      <x:c r="B125" s="11" t="str">
        <x:v>U26</x:v>
      </x:c>
      <x:c r="C125" s="11" t="str">
        <x:v>released_67</x:v>
      </x:c>
      <x:c r="D125" s="11" t="str">
        <x:v>COBALT-TLA: A Neuro-Symbolic Verification Loop for Cross-Chain Bridge Vulnerability Discovery</x:v>
      </x:c>
      <x:c r="E125" s="11" t="str">
        <x:v>lifecycle coverage</x:v>
      </x:c>
      <x:c r="F125" s="11" t="str">
        <x:v>multi-label</x:v>
      </x:c>
      <x:c r="G125" s="11" t="str">
        <x:v>candidate analysis;execution observation</x:v>
      </x:c>
      <x:c r="H125" s="11" t="str">
        <x:v>candidate analysis;execution observation;path and input exploration;reporting and audit;reproduction and validation</x:v>
      </x:c>
      <x:c r="I125" s="11" t="str">
        <x:v>source-linked lead</x:v>
      </x:c>
      <x:c r="J125" s="11" t="str">
        <x:v>https://arxiv.org/abs/2604.12172 | Paper pp. 1–4 (neuro-symbolic TLC loop, three targets and counterexample results). | excerpt pages 1</x:v>
      </x:c>
      <x:c r="K125" s="11" t="str">
        <x:v>[p.1] The Ronin Network ($625M), Wormhole ($320M), and Nomad ($190M) exploits share a fundamental pathology: they were not caused by standard cryptographic failures or simple arithmetic overflows. [p.1] COBALT-TLA: A Neuro-Symbolic Verification Loop for Cross-Chain Bridge Vulnerability Discovery Dominik Blain QreativeLab Gatineau, QC, Canada dominik@qreativelab.io Abstract—Cross-chain bridge exploits have caused over $1.1B in losses through a single recurring pathology: temporal ordering violations in distributed state machines.</x:v>
      </x:c>
      <x:c r="L125" s="16" t="str">
        <x:v>A source-linked excerpt and locator are supplied as review leads; the cited source and locator should be retained for auditability.</x:v>
      </x:c>
      <x:c r="M125" s="16" t="str">
        <x:v>Mark only observable lifecycle actions or outputs. Reporting and audit requires explicit packaging, routing, disclosure, or audit transition; a report name alone is insufficient.</x:v>
      </x:c>
      <x:c r="N125" s="16" t="str">
        <x:v>candidate analysis;execution observation</x:v>
      </x:c>
      <x:c r="O125" s="16" t="str">
        <x:v>The cited source supports the selected label candidate analysis;execution observation; only observable workflow actions or outputs were retained.</x:v>
      </x:c>
      <x:c r="P125" s="16" t="str">
        <x:v>https://arxiv.org/abs/2604.12172 | Paper pp. 1–4 (neuro-symbolic TLC loop, three targets and counterexample results). | excerpt pages 1</x:v>
      </x:c>
      <x:c r="Q125" s="16" t="str">
        <x:v>no</x:v>
      </x:c>
      <x:c r="R125" s="11" t="str"/>
      <x:c r="S125" s="11" t="str">
        <x:v>2026-08-12</x:v>
      </x:c>
      <x:c r="T125" s="18" t="str">
        <x:f>IF(OR(AND(N125="unresolved",LEN(O125)&gt;0,LEN(P125)&gt;0,Q125="yes"),AND(LEN(N125)&gt;0,LEN(O125)&gt;0,LEN(P125)&gt;0,OR(Q125="yes",Q125="no"))),"ready","pending")</x:f>
        <x:v>ready</x:v>
      </x:c>
    </x:row>
    <x:row r="126" ht="44" customHeight="1">
      <x:c r="A126" s="10" t="str">
        <x:v>U26__capability</x:v>
      </x:c>
      <x:c r="B126" s="11" t="str">
        <x:v>U26</x:v>
      </x:c>
      <x:c r="C126" s="11" t="str">
        <x:v>released_67</x:v>
      </x:c>
      <x:c r="D126" s="11" t="str">
        <x:v>COBALT-TLA: A Neuro-Symbolic Verification Loop for Cross-Chain Bridge Vulnerability Discovery</x:v>
      </x:c>
      <x:c r="E126" s="11" t="str">
        <x:v>cross-stage capability</x:v>
      </x:c>
      <x:c r="F126" s="11" t="str">
        <x:v>multi-label</x:v>
      </x:c>
      <x:c r="G126" s="11" t="str">
        <x:v>context aggregation / rule extraction;feedback interpretation / loop adjustment;validation organization / evidence packaging</x:v>
      </x:c>
      <x:c r="H126" s="11" t="str">
        <x:v>context aggregation / rule extraction;feedback interpretation / loop adjustment;tool routing / strategy routing;validation organization / evidence packaging</x:v>
      </x:c>
      <x:c r="I126" s="11" t="str">
        <x:v>source-linked lead</x:v>
      </x:c>
      <x:c r="J126" s="11" t="str">
        <x:v>https://arxiv.org/abs/2604.12172 | Paper pp. 1–4 (neuro-symbolic TLC loop, three targets and counterexample results). | excerpt pages 1</x:v>
      </x:c>
      <x:c r="K126" s="11" t="str">
        <x:v>[p.1] The Web3 industry possesses the right problem, but lacks the engineering bandwidth to deploy the right tool. [p.1] We argue that deterministic prover feedback is sufficient to neutralize LLM hallucination in formal methods, transforming zero-shot code generation into a convergent proof-finding strategy.</x:v>
      </x:c>
      <x:c r="L126" s="16" t="str">
        <x:v>A source-linked excerpt and locator are supplied as review leads; the cited source and locator should be retained for auditability.</x:v>
      </x:c>
      <x:c r="M126" s="16" t="str">
        <x:v>Require an explicit cross-stage connection. Information must guide later action; feedback must alter later action; packaging must assemble prior outputs; governance must enforce an actual gate.</x:v>
      </x:c>
      <x:c r="N126" s="16" t="str">
        <x:v>context aggregation / rule extraction;feedback interpretation / loop adjustment;validation organization / evidence packaging</x:v>
      </x:c>
      <x:c r="O126" s="16" t="str">
        <x:v>The cited source supports the selected label context aggregation / rule extraction;feedback interpretation / loop adjustment;validation organization / evidence packaging; each retained label requires an explicit connection that guides later action, feedback, packaging, or a gate.</x:v>
      </x:c>
      <x:c r="P126" s="16" t="str">
        <x:v>https://arxiv.org/abs/2604.12172 | Paper pp. 1–4 (neuro-symbolic TLC loop, three targets and counterexample results). | excerpt pages 1</x:v>
      </x:c>
      <x:c r="Q126" s="16" t="str">
        <x:v>no</x:v>
      </x:c>
      <x:c r="R126" s="11" t="str"/>
      <x:c r="S126" s="11" t="str">
        <x:v>2026-08-12</x:v>
      </x:c>
      <x:c r="T126" s="18" t="str">
        <x:f>IF(OR(AND(N126="unresolved",LEN(O126)&gt;0,LEN(P126)&gt;0,Q126="yes"),AND(LEN(N126)&gt;0,LEN(O126)&gt;0,LEN(P126)&gt;0,OR(Q126="yes",Q126="no"))),"ready","pending")</x:f>
        <x:v>ready</x:v>
      </x:c>
    </x:row>
    <x:row r="127" ht="44" customHeight="1">
      <x:c r="A127" s="10" t="str">
        <x:v>U26__principal_evidence</x:v>
      </x:c>
      <x:c r="B127" s="11" t="str">
        <x:v>U26</x:v>
      </x:c>
      <x:c r="C127" s="11" t="str">
        <x:v>released_67</x:v>
      </x:c>
      <x:c r="D127" s="11" t="str">
        <x:v>COBALT-TLA: A Neuro-Symbolic Verification Loop for Cross-Chain Bridge Vulnerability Discovery</x:v>
      </x:c>
      <x:c r="E127" s="11" t="str">
        <x:v>principal reported evidence output</x:v>
      </x:c>
      <x:c r="F127" s="11" t="str">
        <x:v>single-label</x:v>
      </x:c>
      <x:c r="G127" s="11" t="str">
        <x:v>runtime safety signal</x:v>
      </x:c>
      <x:c r="H127" s="11" t="str">
        <x:v>controlled task completion</x:v>
      </x:c>
      <x:c r="I127" s="11" t="str">
        <x:v>source-linked lead</x:v>
      </x:c>
      <x:c r="J127" s="11" t="str">
        <x:v>https://arxiv.org/abs/2604.12172 | Paper pp. 1–4 (neuro-symbolic TLC loop, three targets and counterexample results). | excerpt pages 3, 1</x:v>
      </x:c>
      <x:c r="K127" s="11" t="str">
        <x:v>[p.3] T2 uses the same architecture but tasks the LLM with emergent vulnerability discovery. [p.1] The current Web3 security apparatus is structurally blind to this class of vulnerability.</x:v>
      </x:c>
      <x:c r="L127" s="16" t="str">
        <x:v>A source-linked excerpt and locator are supplied as review leads; the cited source and locator should be retained for auditability.</x:v>
      </x:c>
      <x:c r="M127" s="16" t="str">
        <x:v>Select the observable result most directly supporting the main finding. Benchmark ground truth or aggregate CVE counts do not automatically establish externally traceable material.</x:v>
      </x:c>
      <x:c r="N127" s="16" t="str">
        <x:v>runtime safety signal</x:v>
      </x:c>
      <x:c r="O127" s="16" t="str">
        <x:v>The cited source supports the selected label runtime safety signal as the main observable result reported for the study.</x:v>
      </x:c>
      <x:c r="P127" s="16" t="str">
        <x:v>https://arxiv.org/abs/2604.12172 | Paper pp. 1–4 (neuro-symbolic TLC loop, three targets and counterexample results). | excerpt pages 3, 1</x:v>
      </x:c>
      <x:c r="Q127" s="16" t="str">
        <x:v>no</x:v>
      </x:c>
      <x:c r="R127" s="11" t="str"/>
      <x:c r="S127" s="11" t="str">
        <x:v>2026-08-12</x:v>
      </x:c>
      <x:c r="T127" s="18" t="str">
        <x:f>IF(OR(AND(N127="unresolved",LEN(O127)&gt;0,LEN(P127)&gt;0,Q127="yes"),AND(LEN(N127)&gt;0,LEN(O127)&gt;0,LEN(P127)&gt;0,OR(Q127="yes",Q127="no"))),"ready","pending")</x:f>
        <x:v>ready</x:v>
      </x:c>
    </x:row>
    <x:row r="128" ht="44" customHeight="1">
      <x:c r="A128" s="10" t="str">
        <x:v>U28__lifecycle</x:v>
      </x:c>
      <x:c r="B128" s="11" t="str">
        <x:v>U28</x:v>
      </x:c>
      <x:c r="C128" s="11" t="str">
        <x:v>released_67</x:v>
      </x:c>
      <x:c r="D128" s="11" t="str">
        <x:v>PoC-Adapt: Semantic-Aware Automated Vulnerability Reproduction with LLM Multi-Agents and Reinforcement Learning-Driven Adaptive Policy</x:v>
      </x:c>
      <x:c r="E128" s="11" t="str">
        <x:v>lifecycle coverage</x:v>
      </x:c>
      <x:c r="F128" s="11" t="str">
        <x:v>multi-label</x:v>
      </x:c>
      <x:c r="G128" s="11" t="str">
        <x:v>candidate analysis;execution observation;path and input exploration;reproduction and validation</x:v>
      </x:c>
      <x:c r="H128" s="11" t="str">
        <x:v>candidate analysis;execution observation;path and input exploration;reporting and audit;reproduction and validation</x:v>
      </x:c>
      <x:c r="I128" s="11" t="str">
        <x:v>source-linked lead</x:v>
      </x:c>
      <x:c r="J128" s="11" t="str">
        <x:v>https://arxiv.org/abs/2604.06618 | Paper pp. 1–10 (semantic oracle and adaptive policy), pp. 10–15 (PoC verification results and limitations). | excerpt pages 1</x:v>
      </x:c>
      <x:c r="K128" s="11" t="str">
        <x:v>[p.1] In 2025 alone, the number of disclosed Common Vulnerabilities and Exposures (CVEs) is projected to exceed 50,000, marking a 23% increase from the previous year [1]. [p.1] Compounding this issue, most vulnerability reports provide only concise descriptions without accompanying Proof-of-Concept (PoC) exploits, creating a reproducibility gap that hinders timely verification, patching, and risk assessment.</x:v>
      </x:c>
      <x:c r="L128" s="16" t="str">
        <x:v>A source-linked excerpt and locator are supplied as review leads; the cited source and locator should be retained for auditability.</x:v>
      </x:c>
      <x:c r="M128" s="16" t="str">
        <x:v>Mark only observable lifecycle actions or outputs. Reporting and audit requires explicit packaging, routing, disclosure, or audit transition; a report name alone is insufficient.</x:v>
      </x:c>
      <x:c r="N128" s="16" t="str">
        <x:v>candidate analysis;path and input exploration;execution observation;reproduction and validation</x:v>
      </x:c>
      <x:c r="O128" s="16" t="str">
        <x:v>The cited source supports the selected label candidate analysis;path and input exploration;execution observation;reproduction and validation; only observable workflow actions or outputs were retained.</x:v>
      </x:c>
      <x:c r="P128" s="16" t="str">
        <x:v>https://arxiv.org/abs/2604.06618 | Paper pp. 1–10 (semantic oracle and adaptive policy), pp. 10–15 (PoC verification results and limitations). | excerpt pages 1</x:v>
      </x:c>
      <x:c r="Q128" s="16" t="str">
        <x:v>no</x:v>
      </x:c>
      <x:c r="R128" s="11" t="str"/>
      <x:c r="S128" s="11" t="str">
        <x:v>2026-08-12</x:v>
      </x:c>
      <x:c r="T128" s="18" t="str">
        <x:f>IF(OR(AND(N128="unresolved",LEN(O128)&gt;0,LEN(P128)&gt;0,Q128="yes"),AND(LEN(N128)&gt;0,LEN(O128)&gt;0,LEN(P128)&gt;0,OR(Q128="yes",Q128="no"))),"ready","pending")</x:f>
        <x:v>ready</x:v>
      </x:c>
    </x:row>
    <x:row r="129" ht="44" customHeight="1">
      <x:c r="A129" s="10" t="str">
        <x:v>U28__capability</x:v>
      </x:c>
      <x:c r="B129" s="11" t="str">
        <x:v>U28</x:v>
      </x:c>
      <x:c r="C129" s="11" t="str">
        <x:v>released_67</x:v>
      </x:c>
      <x:c r="D129" s="11" t="str">
        <x:v>PoC-Adapt: Semantic-Aware Automated Vulnerability Reproduction with LLM Multi-Agents and Reinforcement Learning-Driven Adaptive Policy</x:v>
      </x:c>
      <x:c r="E129" s="11" t="str">
        <x:v>cross-stage capability</x:v>
      </x:c>
      <x:c r="F129" s="11" t="str">
        <x:v>multi-label</x:v>
      </x:c>
      <x:c r="G129" s="11" t="str">
        <x:v>context aggregation / rule extraction;failure reuse / strategy update;feedback interpretation / loop adjustment;long-horizon state management;tool routing / strategy routing;validation organization / evidence packaging</x:v>
      </x:c>
      <x:c r="H129" s="11" t="str">
        <x:v>context aggregation / rule extraction;failure reuse / strategy update;feedback interpretation / loop adjustment;tool routing / strategy routing;validation organization / evidence packaging</x:v>
      </x:c>
      <x:c r="I129" s="11" t="str">
        <x:v>source-linked lead</x:v>
      </x:c>
      <x:c r="J129" s="11" t="str">
        <x:v>https://arxiv.org/abs/2604.06618 | Paper pp. 1–10 (semantic oracle and adaptive policy), pp. 10–15 (PoC verification results and limitations). | excerpt pages 2, 3</x:v>
      </x:c>
      <x:c r="K129" s="11" t="str">
        <x:v>[p.2] Multi-agent collaboration decomposes complex, long-horizon tasks into specialized roles with shared context and cross-checking, as demonstrated in PentestGPT [24] and VulnAgent [25]. [p.3] SAEG proposes an extensible state machine based on Exploit Graphs to handle multi-step exploita- tion procedures [35].</x:v>
      </x:c>
      <x:c r="L129" s="16" t="str">
        <x:v>A source-linked excerpt and locator are supplied as review leads; the cited source and locator should be retained for auditability.</x:v>
      </x:c>
      <x:c r="M129" s="16" t="str">
        <x:v>Require an explicit cross-stage connection. Information must guide later action; feedback must alter later action; packaging must assemble prior outputs; governance must enforce an actual gate.</x:v>
      </x:c>
      <x:c r="N129" s="16" t="str">
        <x:v>context aggregation / rule extraction;tool routing / strategy routing;feedback interpretation / loop adjustment;validation organization / evidence packaging;long-horizon state management;failure reuse / strategy update</x:v>
      </x:c>
      <x:c r="O129"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29" s="16" t="str">
        <x:v>https://arxiv.org/abs/2604.06618 | Paper pp. 1–10 (semantic oracle and adaptive policy), pp. 10–15 (PoC verification results and limitations). | excerpt pages 2, 3</x:v>
      </x:c>
      <x:c r="Q129" s="16" t="str">
        <x:v>no</x:v>
      </x:c>
      <x:c r="R129" s="11" t="str"/>
      <x:c r="S129" s="11" t="str">
        <x:v>2026-08-12</x:v>
      </x:c>
      <x:c r="T129" s="18" t="str">
        <x:f>IF(OR(AND(N129="unresolved",LEN(O129)&gt;0,LEN(P129)&gt;0,Q129="yes"),AND(LEN(N129)&gt;0,LEN(O129)&gt;0,LEN(P129)&gt;0,OR(Q129="yes",Q129="no"))),"ready","pending")</x:f>
        <x:v>ready</x:v>
      </x:c>
    </x:row>
    <x:row r="130" ht="44" customHeight="1">
      <x:c r="A130" s="10" t="str">
        <x:v>U29__lifecycle</x:v>
      </x:c>
      <x:c r="B130" s="11" t="str">
        <x:v>U29</x:v>
      </x:c>
      <x:c r="C130" s="11" t="str">
        <x:v>released_67</x:v>
      </x:c>
      <x:c r="D130" s="11" t="str">
        <x:v>Guiding Symbolic Execution with Static Analysis and LLMs for Vulnerability Discovery</x:v>
      </x:c>
      <x:c r="E130" s="11" t="str">
        <x:v>lifecycle coverage</x:v>
      </x:c>
      <x:c r="F130" s="11" t="str">
        <x:v>multi-label</x:v>
      </x:c>
      <x:c r="G130" s="11" t="str">
        <x:v>candidate analysis;execution observation;path and input exploration;reproduction and validation</x:v>
      </x:c>
      <x:c r="H130" s="11" t="str">
        <x:v>candidate analysis;execution observation;path and input exploration;reporting and audit;reproduction and validation</x:v>
      </x:c>
      <x:c r="I130" s="11" t="str">
        <x:v>source-linked lead</x:v>
      </x:c>
      <x:c r="J130" s="11" t="str">
        <x:v>https://arxiv.org/abs/2604.06506 | Paper pp. 1–8 (static/LLM/symbolic workflow and concrete replay), pp. 8–11 (evaluation, evidence package and disclosure boundary). | excerpt pages 8, 1</x:v>
      </x:c>
      <x:c r="K130" s="11" t="str">
        <x:v>[p.8] Together with the Phase 1 specification (Figure 2) and Phase 2 KLEE artifacts (Figure 7), these artifacts together provide a reproducible evidence package for the detected vulnerability. [p.1] Without an inde- pendent execution-based verdict, a model may confidently report vulnerabilities that do not exist or dismiss genuine vulnerabilities as safe.</x:v>
      </x:c>
      <x:c r="L130" s="16" t="str">
        <x:v>A source-linked excerpt and locator are supplied as review leads; the cited source and locator should be retained for auditability.</x:v>
      </x:c>
      <x:c r="M130" s="16" t="str">
        <x:v>Mark only observable lifecycle actions or outputs. Reporting and audit requires explicit packaging, routing, disclosure, or audit transition; a report name alone is insufficient.</x:v>
      </x:c>
      <x:c r="N130" s="16" t="str">
        <x:v>candidate analysis;path and input exploration;execution observation;reproduction and validation</x:v>
      </x:c>
      <x:c r="O130" s="16" t="str">
        <x:v>The cited source supports the selected label candidate analysis;path and input exploration;execution observation;reproduction and validation; only observable workflow actions or outputs were retained.</x:v>
      </x:c>
      <x:c r="P130" s="16" t="str">
        <x:v>https://arxiv.org/abs/2604.06506 | Paper pp. 1–8 (static/LLM/symbolic workflow and concrete replay), pp. 8–11 (evaluation, evidence package and disclosure boundary). | excerpt pages 8, 1</x:v>
      </x:c>
      <x:c r="Q130" s="16" t="str">
        <x:v>no</x:v>
      </x:c>
      <x:c r="R130" s="11" t="str"/>
      <x:c r="S130" s="11" t="str">
        <x:v>2026-08-12</x:v>
      </x:c>
      <x:c r="T130" s="18" t="str">
        <x:f>IF(OR(AND(N130="unresolved",LEN(O130)&gt;0,LEN(P130)&gt;0,Q130="yes"),AND(LEN(N130)&gt;0,LEN(O130)&gt;0,LEN(P130)&gt;0,OR(Q130="yes",Q130="no"))),"ready","pending")</x:f>
        <x:v>ready</x:v>
      </x:c>
    </x:row>
    <x:row r="131" ht="44" customHeight="1">
      <x:c r="A131" s="10" t="str">
        <x:v>U29__capability</x:v>
      </x:c>
      <x:c r="B131" s="11" t="str">
        <x:v>U29</x:v>
      </x:c>
      <x:c r="C131" s="11" t="str">
        <x:v>released_67</x:v>
      </x:c>
      <x:c r="D131" s="11" t="str">
        <x:v>Guiding Symbolic Execution with Static Analysis and LLMs for Vulnerability Discovery</x:v>
      </x:c>
      <x:c r="E131" s="11" t="str">
        <x:v>cross-stage capability</x:v>
      </x:c>
      <x:c r="F131" s="11" t="str">
        <x:v>multi-label</x:v>
      </x:c>
      <x:c r="G131" s="11" t="str">
        <x:v>context aggregation / rule extraction;feedback interpretation / loop adjustment;validation organization / evidence packaging</x:v>
      </x:c>
      <x:c r="H131" s="11" t="str">
        <x:v>context aggregation / rule extraction;feedback interpretation / loop adjustment;tool routing / strategy routing;validation organization / evidence packaging</x:v>
      </x:c>
      <x:c r="I131" s="11" t="str">
        <x:v>source-linked lead</x:v>
      </x:c>
      <x:c r="J131" s="11" t="str">
        <x:v>https://arxiv.org/abs/2604.06506 | Paper pp. 1–8 (static/LLM/symbolic workflow and concrete replay), pp. 8–11 (evaluation, evidence package and disclosure boundary). | excerpt pages 4, 1</x:v>
      </x:c>
      <x:c r="K131" s="11" t="str">
        <x:v>[p.4] Thissource exploration phase provides the context needed for three key driver decisions: (1) Entry function 𝑒: The LLM selects 𝑒 based on the entrypoint strategy from Phase 1 (§3.3) and retrieves its signature to deter- mine parameter types and allocate arguments. [p.1] Modern static analysis (SA) tools [1, 3, 4, 8] can scan millions of lines and efficiently flag thousands of candidate sites, but with high false positive rates.</x:v>
      </x:c>
      <x:c r="L131" s="16" t="str">
        <x:v>A source-linked excerpt and locator are supplied as review leads; the cited source and locator should be retained for auditability.</x:v>
      </x:c>
      <x:c r="M131" s="16" t="str">
        <x:v>Require an explicit cross-stage connection. Information must guide later action; feedback must alter later action; packaging must assemble prior outputs; governance must enforce an actual gate.</x:v>
      </x:c>
      <x:c r="N131" s="16" t="str">
        <x:v>context aggregation / rule extraction;feedback interpretation / loop adjustment;validation organization / evidence packaging</x:v>
      </x:c>
      <x:c r="O131" s="16" t="str">
        <x:v>The cited source supports the selected label context aggregation / rule extraction;feedback interpretation / loop adjustment;validation organization / evidence packaging; each retained label requires an explicit connection that guides later action, feedback, packaging, or a gate.</x:v>
      </x:c>
      <x:c r="P131" s="16" t="str">
        <x:v>https://arxiv.org/abs/2604.06506 | Paper pp. 1–8 (static/LLM/symbolic workflow and concrete replay), pp. 8–11 (evaluation, evidence package and disclosure boundary). | excerpt pages 4, 1</x:v>
      </x:c>
      <x:c r="Q131" s="16" t="str">
        <x:v>no</x:v>
      </x:c>
      <x:c r="R131" s="11" t="str"/>
      <x:c r="S131" s="11" t="str">
        <x:v>2026-08-12</x:v>
      </x:c>
      <x:c r="T131" s="18" t="str">
        <x:f>IF(OR(AND(N131="unresolved",LEN(O131)&gt;0,LEN(P131)&gt;0,Q131="yes"),AND(LEN(N131)&gt;0,LEN(O131)&gt;0,LEN(P131)&gt;0,OR(Q131="yes",Q131="no"))),"ready","pending")</x:f>
        <x:v>ready</x:v>
      </x:c>
    </x:row>
    <x:row r="132" ht="44" customHeight="1">
      <x:c r="A132" s="10" t="str">
        <x:v>U29__primary_shape</x:v>
      </x:c>
      <x:c r="B132" s="11" t="str">
        <x:v>U29</x:v>
      </x:c>
      <x:c r="C132" s="11" t="str">
        <x:v>released_67</x:v>
      </x:c>
      <x:c r="D132" s="11" t="str">
        <x:v>Guiding Symbolic Execution with Static Analysis and LLMs for Vulnerability Discovery</x:v>
      </x:c>
      <x:c r="E132" s="11" t="str">
        <x:v>primary system shape</x:v>
      </x:c>
      <x:c r="F132" s="11" t="str">
        <x:v>single-label</x:v>
      </x:c>
      <x:c r="G132" s="11" t="str">
        <x:v>candidate-analysis system</x:v>
      </x:c>
      <x:c r="H132" s="11" t="str">
        <x:v>reproduction-, validation-, and repair-centered agent</x:v>
      </x:c>
      <x:c r="I132" s="11" t="str">
        <x:v>source-linked lead</x:v>
      </x:c>
      <x:c r="J132" s="11" t="str">
        <x:v>https://arxiv.org/abs/2604.06506 | Paper pp. 1–8 (static/LLM/symbolic workflow and concrete replay), pp. 8–11 (evaluation, evidence package and disclosure boundary). | excerpt pages 1</x:v>
      </x:c>
      <x:c r="K132" s="11" t="str">
        <x:v>[p.1] We present Static Analysis Informed and LLM-Orchestrated Symbolic Execution (Sailor), which automates symbolic execution harness construction by combining static analysis with LLM-based synthesis.Sailoroperates in three phases: (1) static analysis iden- tifies candidate vulnerable locations and generates vulnerability specifications; (2) an LLM uses vulnerability specifications and or- chestrates harness synthesis by iteratively refining drivers, stubs, and assertions against compiler and symbolic execution feedback; symbolic execution then detects vulnerabilities using the generated harness, and (3) concrete replay validates the symbolic execution results against the unmodified project sour</x:v>
      </x:c>
      <x:c r="L132" s="16" t="str">
        <x:v>A source-linked excerpt and locator are supplied as review leads; the cited source and locator should be retained for auditability.</x:v>
      </x:c>
      <x:c r="M132" s="16" t="str">
        <x:v>Choose the dominant locus and objective of agent control in the main evaluated contribution. Use the evaluation task and primary metrics to resolve ties; do not infer from agent count or system name.</x:v>
      </x:c>
      <x:c r="N132" s="16" t="str">
        <x:v>candidate-analysis system</x:v>
      </x:c>
      <x:c r="O132" s="16" t="str">
        <x:v>The cited source supports the selected label candidate-analysis system as the dominant evaluated locus and objective of agent control.</x:v>
      </x:c>
      <x:c r="P132" s="16" t="str">
        <x:v>https://arxiv.org/abs/2604.06506 | Paper pp. 1–8 (static/LLM/symbolic workflow and concrete replay), pp. 8–11 (evaluation, evidence package and disclosure boundary). | excerpt pages 1</x:v>
      </x:c>
      <x:c r="Q132" s="16" t="str">
        <x:v>no</x:v>
      </x:c>
      <x:c r="R132" s="11" t="str"/>
      <x:c r="S132" s="11" t="str">
        <x:v>2026-08-12</x:v>
      </x:c>
      <x:c r="T132" s="18" t="str">
        <x:f>IF(OR(AND(N132="unresolved",LEN(O132)&gt;0,LEN(P132)&gt;0,Q132="yes"),AND(LEN(N132)&gt;0,LEN(O132)&gt;0,LEN(P132)&gt;0,OR(Q132="yes",Q132="no"))),"ready","pending")</x:f>
        <x:v>ready</x:v>
      </x:c>
    </x:row>
    <x:row r="133" ht="44" customHeight="1">
      <x:c r="A133" s="10" t="str">
        <x:v>U31__capability</x:v>
      </x:c>
      <x:c r="B133" s="11" t="str">
        <x:v>U31</x:v>
      </x:c>
      <x:c r="C133" s="11" t="str">
        <x:v>released_67</x:v>
      </x:c>
      <x:c r="D133" s="11" t="str">
        <x:v>Fuzzing with Agents? Generators Are All You Need</x:v>
      </x:c>
      <x:c r="E133" s="11" t="str">
        <x:v>cross-stage capability</x:v>
      </x:c>
      <x:c r="F133" s="11" t="str">
        <x:v>multi-label</x:v>
      </x:c>
      <x:c r="G133" s="11" t="str">
        <x:v>context aggregation / rule extraction;feedback interpretation / loop adjustment</x:v>
      </x:c>
      <x:c r="H133" s="11" t="str">
        <x:v>failure reuse / strategy update;feedback interpretation / loop adjustment;tool routing / strategy routing</x:v>
      </x:c>
      <x:c r="I133" s="11" t="str">
        <x:v>source-linked lead</x:v>
      </x:c>
      <x:c r="J133" s="11" t="str">
        <x:v>https://arxiv.org/abs/2604.01442 | Paper pp. 1–5 (Gentoo generator loop), pp. 5–10 (coverage experiments), and pp. 10–12 (discussion/conclusion). | excerpt pages 2</x:v>
      </x:c>
      <x:c r="K133" s="11" t="str">
        <x:v>[p.2] Effective synthesis re- quires: (1) giving the agent the tooling and source context to write a generator, (2) measuring the gap between what the current gen- erator produces and what the target’s deep predicates require, and (3) iterating and refining the generator to close that gap. [p.2] Tools such as CSmith [52, 65] for C compilers and SQLancer [ 8] for database engines generate inputs that are not merely syntactically valid but semantically rich by construction: CSmith emits C programs free of undefined behavior, while SQLancer produces queries that satisfy the relational schemas and type rules of the target database.</x:v>
      </x:c>
      <x:c r="L133" s="16" t="str">
        <x:v>A source-linked excerpt and locator are supplied as review leads; the cited source and locator should be retained for auditability.</x:v>
      </x:c>
      <x:c r="M133" s="16" t="str">
        <x:v>Require an explicit cross-stage connection. Information must guide later action; feedback must alter later action; packaging must assemble prior outputs; governance must enforce an actual gate.</x:v>
      </x:c>
      <x:c r="N133" s="16" t="str">
        <x:v>context aggregation / rule extraction;feedback interpretation / loop adjustment</x:v>
      </x:c>
      <x:c r="O133" s="16" t="str">
        <x:v>The cited source supports the selected label context aggregation / rule extraction;feedback interpretation / loop adjustment; each retained label requires an explicit connection that guides later action, feedback, packaging, or a gate.</x:v>
      </x:c>
      <x:c r="P133" s="16" t="str">
        <x:v>https://arxiv.org/abs/2604.01442 | Paper pp. 1–5 (Gentoo generator loop), pp. 5–10 (coverage experiments), and pp. 10–12 (discussion/conclusion). | excerpt pages 2</x:v>
      </x:c>
      <x:c r="Q133" s="16" t="str">
        <x:v>no</x:v>
      </x:c>
      <x:c r="R133" s="11" t="str"/>
      <x:c r="S133" s="11" t="str">
        <x:v>2026-08-12</x:v>
      </x:c>
      <x:c r="T133" s="18" t="str">
        <x:f>IF(OR(AND(N133="unresolved",LEN(O133)&gt;0,LEN(P133)&gt;0,Q133="yes"),AND(LEN(N133)&gt;0,LEN(O133)&gt;0,LEN(P133)&gt;0,OR(Q133="yes",Q133="no"))),"ready","pending")</x:f>
        <x:v>ready</x:v>
      </x:c>
    </x:row>
    <x:row r="134" ht="44" customHeight="1">
      <x:c r="A134" s="10" t="str">
        <x:v>U32__lifecycle</x:v>
      </x:c>
      <x:c r="B134" s="11" t="str">
        <x:v>U32</x:v>
      </x:c>
      <x:c r="C134" s="11" t="str">
        <x:v>released_67</x:v>
      </x:c>
      <x:c r="D134" s="11" t="str">
        <x:v>STRIATUM-CTF: A Protocol-Driven Agentic Framework for General-Purpose CTF Solving</x:v>
      </x:c>
      <x:c r="E134" s="11" t="str">
        <x:v>lifecycle coverage</x:v>
      </x:c>
      <x:c r="F134" s="11" t="str">
        <x:v>multi-label</x:v>
      </x:c>
      <x:c r="G134" s="11" t="str">
        <x:v>candidate analysis;execution observation;path and input exploration;reproduction and validation</x:v>
      </x:c>
      <x:c r="H134" s="11" t="str">
        <x:v>candidate analysis;execution observation;path and input exploration;reporting and audit;reproduction and validation</x:v>
      </x:c>
      <x:c r="I134" s="11" t="str">
        <x:v>source-linked lead</x:v>
      </x:c>
      <x:c r="J134" s="11" t="str">
        <x:v>https://arxiv.org/abs/2603.22577 | Paper pp. 1–5 (MCP architecture, validation and scoped execution), pp. 5–8 (CTF workflow/results). | excerpt pages 1, 4</x:v>
      </x:c>
      <x:c r="K134" s="11" t="str">
        <x:v>[p.1] Furthermore, while models like GPT-4o [7] excel at high-level planning, they suffer from aReasoning-Action Gap[8], where the model correctly identifies a vulnerability (e.g., SQL injection) but fails to generate the syntactically correct payload to exploit it due to a lack of grounded environment feedback, frequently hallucinating non-existent command-line flags or software packages, a failure mode that introduces downstream supply-chain risks such asslopsquat- ting[9]. [p.4] gadget offsets, memory leaks) while filtering irrelevant data to conserve context tokens. •Iterate (Contextual Refinement):Based on the newly acquired grounded state, the agent evaluates the suc- cess of the prior action, refining subsequent steps (Self- Correction) or terminating the loop to generate a final report if the objective is met.</x:v>
      </x:c>
      <x:c r="L134" s="16" t="str">
        <x:v>A source-linked excerpt and locator are supplied as review leads; the cited source and locator should be retained for auditability.</x:v>
      </x:c>
      <x:c r="M134" s="16" t="str">
        <x:v>Mark only observable lifecycle actions or outputs. Reporting and audit requires explicit packaging, routing, disclosure, or audit transition; a report name alone is insufficient.</x:v>
      </x:c>
      <x:c r="N134" s="16" t="str">
        <x:v>candidate analysis;path and input exploration;execution observation;reproduction and validation</x:v>
      </x:c>
      <x:c r="O134" s="16" t="str">
        <x:v>The cited source supports the selected label candidate analysis;path and input exploration;execution observation;reproduction and validation; only observable workflow actions or outputs were retained.</x:v>
      </x:c>
      <x:c r="P134" s="16" t="str">
        <x:v>https://arxiv.org/abs/2603.22577 | Paper pp. 1–5 (MCP architecture, validation and scoped execution), pp. 5–8 (CTF workflow/results). | excerpt pages 1, 4</x:v>
      </x:c>
      <x:c r="Q134" s="16" t="str">
        <x:v>no</x:v>
      </x:c>
      <x:c r="R134" s="11" t="str"/>
      <x:c r="S134" s="11" t="str">
        <x:v>2026-08-12</x:v>
      </x:c>
      <x:c r="T134" s="18" t="str">
        <x:f>IF(OR(AND(N134="unresolved",LEN(O134)&gt;0,LEN(P134)&gt;0,Q134="yes"),AND(LEN(N134)&gt;0,LEN(O134)&gt;0,LEN(P134)&gt;0,OR(Q134="yes",Q134="no"))),"ready","pending")</x:f>
        <x:v>ready</x:v>
      </x:c>
    </x:row>
    <x:row r="135" ht="44" customHeight="1">
      <x:c r="A135" s="10" t="str">
        <x:v>U32__capability</x:v>
      </x:c>
      <x:c r="B135" s="11" t="str">
        <x:v>U32</x:v>
      </x:c>
      <x:c r="C135" s="11" t="str">
        <x:v>released_67</x:v>
      </x:c>
      <x:c r="D135" s="11" t="str">
        <x:v>STRIATUM-CTF: A Protocol-Driven Agentic Framework for General-Purpose CTF Solving</x:v>
      </x:c>
      <x:c r="E135" s="11" t="str">
        <x:v>cross-stage capability</x:v>
      </x:c>
      <x:c r="F135" s="11" t="str">
        <x:v>multi-label</x:v>
      </x:c>
      <x:c r="G135" s="11" t="str">
        <x:v>feedback interpretation / loop adjustment;long-horizon state management;tool routing / strategy routing;validation organization / evidence packaging</x:v>
      </x:c>
      <x:c r="H135" s="11" t="str">
        <x:v>feedback interpretation / loop adjustment;governance / human gates / disclosure control;long-horizon state management;tool routing / strategy routing;validation organization / evidence packaging</x:v>
      </x:c>
      <x:c r="I135" s="11" t="str">
        <x:v>source-linked lead</x:v>
      </x:c>
      <x:c r="J135" s="11" t="str">
        <x:v>https://arxiv.org/abs/2603.22577 | Paper pp. 1–5 (MCP architecture, validation and scoped execution), pp. 5–8 (CTF workflow/results). | excerpt pages 1</x:v>
      </x:c>
      <x:c r="K135" s="11" t="str">
        <x:v>[p.1] STRIATUM-CTF secured First Place, outperforming 21 human teams and demonstrating strong adaptability in a dynamic problem-solving setting. [p.1] Existing methods largely fall into two categories: “copilots” that require constant human prompting, or “naive autonomous agents” that simply pipe model output into a shell [5].</x:v>
      </x:c>
      <x:c r="L135" s="16" t="str">
        <x:v>A source-linked excerpt and locator are supplied as review leads; the cited source and locator should be retained for auditability.</x:v>
      </x:c>
      <x:c r="M135" s="16" t="str">
        <x:v>Require an explicit cross-stage connection. Information must guide later action; feedback must alter later action; packaging must assemble prior outputs; governance must enforce an actual gate.</x:v>
      </x:c>
      <x:c r="N135" s="16" t="str">
        <x:v>tool routing / strategy routing;feedback interpretation / loop adjustment;validation organization / evidence packaging;long-horizon state management</x:v>
      </x:c>
      <x:c r="O135" s="16" t="str">
        <x:v>The cited source supports the selected label tool routing / strategy routing;feedback interpretation / loop adjustment;validation organization / evidence packaging;long-horizon state management; each retained label requires an explicit connection that guides later action, feedback, packaging, or a gate.</x:v>
      </x:c>
      <x:c r="P135" s="16" t="str">
        <x:v>https://arxiv.org/abs/2603.22577 | Paper pp. 1–5 (MCP architecture, validation and scoped execution), pp. 5–8 (CTF workflow/results). | excerpt pages 1</x:v>
      </x:c>
      <x:c r="Q135" s="16" t="str">
        <x:v>no</x:v>
      </x:c>
      <x:c r="R135" s="11" t="str"/>
      <x:c r="S135" s="11" t="str">
        <x:v>2026-08-12</x:v>
      </x:c>
      <x:c r="T135" s="18" t="str">
        <x:f>IF(OR(AND(N135="unresolved",LEN(O135)&gt;0,LEN(P135)&gt;0,Q135="yes"),AND(LEN(N135)&gt;0,LEN(O135)&gt;0,LEN(P135)&gt;0,OR(Q135="yes",Q135="no"))),"ready","pending")</x:f>
        <x:v>ready</x:v>
      </x:c>
    </x:row>
    <x:row r="136" ht="44" customHeight="1">
      <x:c r="A136" s="10" t="str">
        <x:v>U32__external_traceability</x:v>
      </x:c>
      <x:c r="B136" s="11" t="str">
        <x:v>U32</x:v>
      </x:c>
      <x:c r="C136" s="11" t="str">
        <x:v>released_67</x:v>
      </x:c>
      <x:c r="D136" s="11" t="str">
        <x:v>STRIATUM-CTF: A Protocol-Driven Agentic Framework for General-Purpose CTF Solving</x:v>
      </x:c>
      <x:c r="E136" s="11" t="str">
        <x:v>external traceability</x:v>
      </x:c>
      <x:c r="F136" s="11" t="str">
        <x:v>single-label</x:v>
      </x:c>
      <x:c r="G136" s="11" t="str">
        <x:v>benchmark ground truth / public material</x:v>
      </x:c>
      <x:c r="H136" s="11" t="str">
        <x:v>no external trace reported</x:v>
      </x:c>
      <x:c r="I136" s="11" t="str">
        <x:v>source-linked lead</x:v>
      </x:c>
      <x:c r="J136" s="11" t="str">
        <x:v>https://arxiv.org/abs/2603.22577 | Paper pp. 1–5 (MCP architecture, validation and scoped execution), pp. 5–8 (CTF workflow/results). | excerpt pages 4</x:v>
      </x:c>
      <x:c r="K136" s="11" t="str">
        <x:v>[p.4] TABLE I BENCHMARK DATASET COMPOSITION BY VULNERABILITY CATEGORY. [p.4] Dataset, LLM Models, and Implementation Details We assembled a benchmark of 15 CTF challenges drawn from multiple sources: picoCTF 1 (5 challenges), the official angr.io tutorials 2 (3 challenges), an archived university CTF (1 challenge), and legacy challenges drawn from internal repositories (6 challenges), for which complete provenance metadata is unavailable.</x:v>
      </x:c>
      <x:c r="L136" s="16" t="str">
        <x:v>A source-linked excerpt and locator are supplied as review leads; the cited source and locator should be retained for auditability.</x:v>
      </x:c>
      <x:c r="M136" s="16" t="str">
        <x:v>Code separately from principal output. Only item-level alignment between a concrete system result and a specific public external record qualifies as publicly aligned external trace.</x:v>
      </x:c>
      <x:c r="N136" s="16" t="str">
        <x:v>benchmark ground truth / public material</x:v>
      </x:c>
      <x:c r="O136" s="16" t="str">
        <x:v>The cited source supports the selected label benchmark ground truth / public material under the codebook's item-level public-record alignment criterion.</x:v>
      </x:c>
      <x:c r="P136" s="16" t="str">
        <x:v>https://arxiv.org/abs/2603.22577 | Paper pp. 1–5 (MCP architecture, validation and scoped execution), pp. 5–8 (CTF workflow/results). | excerpt pages 4</x:v>
      </x:c>
      <x:c r="Q136" s="16" t="str">
        <x:v>no</x:v>
      </x:c>
      <x:c r="R136" s="11" t="str"/>
      <x:c r="S136" s="11" t="str">
        <x:v>2026-08-12</x:v>
      </x:c>
      <x:c r="T136" s="18" t="str">
        <x:f>IF(OR(AND(N136="unresolved",LEN(O136)&gt;0,LEN(P136)&gt;0,Q136="yes"),AND(LEN(N136)&gt;0,LEN(O136)&gt;0,LEN(P136)&gt;0,OR(Q136="yes",Q136="no"))),"ready","pending")</x:f>
        <x:v>ready</x:v>
      </x:c>
    </x:row>
    <x:row r="137" ht="44" customHeight="1">
      <x:c r="A137" s="10" t="str">
        <x:v>U33__lifecycle</x:v>
      </x:c>
      <x:c r="B137" s="11" t="str">
        <x:v>U33</x:v>
      </x:c>
      <x:c r="C137" s="11" t="str">
        <x:v>released_67</x:v>
      </x:c>
      <x:c r="D137" s="11" t="str">
        <x:v>VulnAgent-R2: Evidence-Calibrated Multi-Agent Auditing for Repository-Level Vulnerability Detection</x:v>
      </x:c>
      <x:c r="E137" s="11" t="str">
        <x:v>lifecycle coverage</x:v>
      </x:c>
      <x:c r="F137" s="11" t="str">
        <x:v>multi-label</x:v>
      </x:c>
      <x:c r="G137" s="11" t="str">
        <x:v>candidate analysis;execution observation;reporting and audit;reproduction and validation</x:v>
      </x:c>
      <x:c r="H137" s="11" t="str">
        <x:v>candidate analysis;execution observation;path and input exploration;reporting and audit;reproduction and validation</x:v>
      </x:c>
      <x:c r="I137" s="11" t="str">
        <x:v>source-linked lead</x:v>
      </x:c>
      <x:c r="J137" s="11" t="str">
        <x:v>https://arxiv.org/abs/2603.13384 | Paper pp. 1–6 (evidence-calibrated architecture), pp. 6–11 (benchmark/dynamic-verification evaluation and limitations). | excerpt pages 5</x:v>
      </x:c>
      <x:c r="K137" s="11" t="str">
        <x:v>[p.5] Agent Input Action Output schema Stop rule Router target, static alerts choose CWE family and tools CWE prior, required context one pass Data-flow slice, callers/callees source-sink trace, sanitizer check support/refute tuple no new edge Control/state CFG, guards, locks path feasibility, state invariant path tuple, infeasible reason 2 rounds Memory-safety allocation/lifetime API bounds, UAF, overflow evidence CWE tuple, span 2 rounds Sceptic all positive claims search counter-evidence and safe guards negative tuple confidence shift&lt; .03 Verifier evidence tuples, build files synthesize and run plan crash/assert/sanitizer/inconclusive 90s/sample Defaults are τaccept = 0.84, τreject = 0.22, τv </x:v>
      </x:c>
      <x:c r="L137" s="16" t="str">
        <x:v>A source-linked excerpt and locator are supplied as review leads; the cited source and locator should be retained for auditability.</x:v>
      </x:c>
      <x:c r="M137" s="16" t="str">
        <x:v>Mark only observable lifecycle actions or outputs. Reporting and audit requires explicit packaging, routing, disclosure, or audit transition; a report name alone is insufficient.</x:v>
      </x:c>
      <x:c r="N137" s="16" t="str">
        <x:v>candidate analysis;execution observation;reproduction and validation;reporting and audit</x:v>
      </x:c>
      <x:c r="O137" s="16" t="str">
        <x:v>The cited source supports the selected label candidate analysis;execution observation;reproduction and validation;reporting and audit; only observable workflow actions or outputs were retained.</x:v>
      </x:c>
      <x:c r="P137" s="16" t="str">
        <x:v>https://arxiv.org/abs/2603.13384 | Paper pp. 1–6 (evidence-calibrated architecture), pp. 6–11 (benchmark/dynamic-verification evaluation and limitations). | excerpt pages 5</x:v>
      </x:c>
      <x:c r="Q137" s="16" t="str">
        <x:v>no</x:v>
      </x:c>
      <x:c r="R137" s="11" t="str"/>
      <x:c r="S137" s="11" t="str">
        <x:v>2026-08-12</x:v>
      </x:c>
      <x:c r="T137" s="18" t="str">
        <x:f>IF(OR(AND(N137="unresolved",LEN(O137)&gt;0,LEN(P137)&gt;0,Q137="yes"),AND(LEN(N137)&gt;0,LEN(O137)&gt;0,LEN(P137)&gt;0,OR(Q137="yes",Q137="no"))),"ready","pending")</x:f>
        <x:v>ready</x:v>
      </x:c>
    </x:row>
    <x:row r="138" ht="44" customHeight="1">
      <x:c r="A138" s="10" t="str">
        <x:v>U34__lifecycle</x:v>
      </x:c>
      <x:c r="B138" s="11" t="str">
        <x:v>U34</x:v>
      </x:c>
      <x:c r="C138" s="11" t="str">
        <x:v>released_67</x:v>
      </x:c>
      <x:c r="D138" s="11" t="str">
        <x:v>Coverage-Guided Multi-Agent Harness Generation for Java Library Fuzzing</x:v>
      </x:c>
      <x:c r="E138" s="11" t="str">
        <x:v>lifecycle coverage</x:v>
      </x:c>
      <x:c r="F138" s="11" t="str">
        <x:v>multi-label</x:v>
      </x:c>
      <x:c r="G138" s="11" t="str">
        <x:v>execution observation;path and input exploration</x:v>
      </x:c>
      <x:c r="H138" s="11" t="str">
        <x:v>candidate analysis;execution observation;path and input exploration;reporting and audit;reproduction and validation</x:v>
      </x:c>
      <x:c r="I138" s="11" t="str">
        <x:v>source-linked lead</x:v>
      </x:c>
      <x:c r="J138" s="11" t="str">
        <x:v>https://arxiv.org/abs/2603.08616 | Paper pp. 1–5 (five-agent harness workflow), pp. 5–8 (coverage-guided evaluation and conclusion). | excerpt pages 1, 2</x:v>
      </x:c>
      <x:c r="K138" s="11" t="str">
        <x:v>[p.1] Keywords fuzzing, harness generation, large language models, multi-agent systems, coverage-guided testing, program analysis, Java 1 Introduction Coverage-guided fuzzing has become a fundamental technique for discovering bugs and vulnerabilities in software systems. [p.2] In summary, this work makes the following contributions. • A multi-agent architecture that integrates LLM reasoning with program analysis to automate harness generation for Java library APIs without requiring consumer code corpora or manual intervention. • A query-driven tool interface using the Model Context Pro- tocol that retrieves precisely scoped and preanalysed pro- gram information on demand, preventing context satura- tion while enabling exploration of large codebases. • Method-targeted coverage information with agent-guided termination that interprets coverage gaps through source code analysis rather than applying fixed thresholds. • Empirical validation on widely deployed libraries</x:v>
      </x:c>
      <x:c r="L138" s="16" t="str">
        <x:v>A source-linked excerpt and locator are supplied as review leads; the cited source and locator should be retained for auditability.</x:v>
      </x:c>
      <x:c r="M138" s="16" t="str">
        <x:v>Mark only observable lifecycle actions or outputs. Reporting and audit requires explicit packaging, routing, disclosure, or audit transition; a report name alone is insufficient.</x:v>
      </x:c>
      <x:c r="N138" s="16" t="str">
        <x:v>path and input exploration;execution observation</x:v>
      </x:c>
      <x:c r="O138" s="16" t="str">
        <x:v>The cited source supports the selected label path and input exploration;execution observation; only observable workflow actions or outputs were retained.</x:v>
      </x:c>
      <x:c r="P138" s="16" t="str">
        <x:v>https://arxiv.org/abs/2603.08616 | Paper pp. 1–5 (five-agent harness workflow), pp. 5–8 (coverage-guided evaluation and conclusion). | excerpt pages 1, 2</x:v>
      </x:c>
      <x:c r="Q138" s="16" t="str">
        <x:v>no</x:v>
      </x:c>
      <x:c r="R138" s="11" t="str"/>
      <x:c r="S138" s="11" t="str">
        <x:v>2026-08-12</x:v>
      </x:c>
      <x:c r="T138" s="18" t="str">
        <x:f>IF(OR(AND(N138="unresolved",LEN(O138)&gt;0,LEN(P138)&gt;0,Q138="yes"),AND(LEN(N138)&gt;0,LEN(O138)&gt;0,LEN(P138)&gt;0,OR(Q138="yes",Q138="no"))),"ready","pending")</x:f>
        <x:v>ready</x:v>
      </x:c>
    </x:row>
    <x:row r="139" ht="44" customHeight="1">
      <x:c r="A139" s="10" t="str">
        <x:v>U34__capability</x:v>
      </x:c>
      <x:c r="B139" s="11" t="str">
        <x:v>U34</x:v>
      </x:c>
      <x:c r="C139" s="11" t="str">
        <x:v>released_67</x:v>
      </x:c>
      <x:c r="D139" s="11" t="str">
        <x:v>Coverage-Guided Multi-Agent Harness Generation for Java Library Fuzzing</x:v>
      </x:c>
      <x:c r="E139" s="11" t="str">
        <x:v>cross-stage capability</x:v>
      </x:c>
      <x:c r="F139" s="11" t="str">
        <x:v>multi-label</x:v>
      </x:c>
      <x:c r="G139" s="11" t="str">
        <x:v>context aggregation / rule extraction;feedback interpretation / loop adjustment;tool routing / strategy routing</x:v>
      </x:c>
      <x:c r="H139" s="11" t="str">
        <x:v>context aggregation / rule extraction;feedback interpretation / loop adjustment;tool routing / strategy routing;validation organization / evidence packaging</x:v>
      </x:c>
      <x:c r="I139" s="11" t="str">
        <x:v>source-linked lead</x:v>
      </x:c>
      <x:c r="J139" s="11" t="str">
        <x:v>https://arxiv.org/abs/2603.08616 | Paper pp. 1–5 (five-agent harness workflow), pp. 5–8 (coverage-guided evaluation and conclusion). | excerpt pages 1, 2</x:v>
      </x:c>
      <x:c r="K139" s="11" t="str">
        <x:v>[p.1] Our generated harnesses achieve a median 26% improvement over OSS-Fuzz baselines and outperform Jazzer Auto- Fuzz by 5% in package-scope coverage. [p.2] During 12-hour fuzzing campaigns with our harnesses, we discovered 3 previously unreported bugs.</x:v>
      </x:c>
      <x:c r="L139" s="16" t="str">
        <x:v>A source-linked excerpt and locator are supplied as review leads; the cited source and locator should be retained for auditability.</x:v>
      </x:c>
      <x:c r="M139" s="16" t="str">
        <x:v>Require an explicit cross-stage connection. Information must guide later action; feedback must alter later action; packaging must assemble prior outputs; governance must enforce an actual gate.</x:v>
      </x:c>
      <x:c r="N139" s="16" t="str">
        <x:v>context aggregation / rule extraction;tool routing / strategy routing;feedback interpretation / loop adjustment</x:v>
      </x:c>
      <x:c r="O139" s="16" t="str">
        <x:v>The cited source supports the selected label context aggregation / rule extraction;tool routing / strategy routing;feedback interpretation / loop adjustment; each retained label requires an explicit connection that guides later action, feedback, packaging, or a gate.</x:v>
      </x:c>
      <x:c r="P139" s="16" t="str">
        <x:v>https://arxiv.org/abs/2603.08616 | Paper pp. 1–5 (five-agent harness workflow), pp. 5–8 (coverage-guided evaluation and conclusion). | excerpt pages 1, 2</x:v>
      </x:c>
      <x:c r="Q139" s="16" t="str">
        <x:v>no</x:v>
      </x:c>
      <x:c r="R139" s="11" t="str"/>
      <x:c r="S139" s="11" t="str">
        <x:v>2026-08-12</x:v>
      </x:c>
      <x:c r="T139" s="18" t="str">
        <x:f>IF(OR(AND(N139="unresolved",LEN(O139)&gt;0,LEN(P139)&gt;0,Q139="yes"),AND(LEN(N139)&gt;0,LEN(O139)&gt;0,LEN(P139)&gt;0,OR(Q139="yes",Q139="no"))),"ready","pending")</x:f>
        <x:v>ready</x:v>
      </x:c>
    </x:row>
    <x:row r="140" ht="44" customHeight="1">
      <x:c r="A140" s="10" t="str">
        <x:v>U36__lifecycle</x:v>
      </x:c>
      <x:c r="B140" s="11" t="str">
        <x:v>U36</x:v>
      </x:c>
      <x:c r="C140" s="11" t="str">
        <x:v>released_67</x:v>
      </x:c>
      <x:c r="D140" s="11" t="str">
        <x:v>FuzzySQL: Uncovering Hidden Vulnerabilities in DBMS Special Features with LLM-Driven Fuzzing</x:v>
      </x:c>
      <x:c r="E140" s="11" t="str">
        <x:v>lifecycle coverage</x:v>
      </x:c>
      <x:c r="F140" s="11" t="str">
        <x:v>multi-label</x:v>
      </x:c>
      <x:c r="G140" s="11" t="str">
        <x:v>execution observation;path and input exploration;reproduction and validation</x:v>
      </x:c>
      <x:c r="H140" s="11" t="str">
        <x:v>execution observation;path and input exploration;reporting and audit;reproduction and validation</x:v>
      </x:c>
      <x:c r="I140" s="11" t="str">
        <x:v>source-linked lead</x:v>
      </x:c>
      <x:c r="J140" s="11" t="str">
        <x:v>https://arxiv.org/abs/2602.19490 | Paper pp. 1–14 (stateful fuzzing/error repair), pp. 14–22 (evaluation/cases), and p. 28 (disclosure-status appendix). | excerpt pages 11</x:v>
      </x:c>
      <x:c r="K140" s="11" t="str">
        <x:v>[p.11] For example, when MySQL reports an error indicating that a table was not locked with LOCK TABLES , FuzzySQL invokes an operator that prepends UNLOCK TABLES; to the faulty SQL block. [p.11] Likewise, when MariaDB reports that a referenced table does not exist , FuzzySQL can invoke acreatetable operator that inserts a recommendedCREATE TABLE template near the failing statement, thereby supplying structured context for later semantic repair.</x:v>
      </x:c>
      <x:c r="L140" s="16" t="str">
        <x:v>A source-linked excerpt and locator are supplied as review leads; the cited source and locator should be retained for auditability.</x:v>
      </x:c>
      <x:c r="M140" s="16" t="str">
        <x:v>Mark only observable lifecycle actions or outputs. Reporting and audit requires explicit packaging, routing, disclosure, or audit transition; a report name alone is insufficient.</x:v>
      </x:c>
      <x:c r="N140" s="16" t="str">
        <x:v>path and input exploration;execution observation;reproduction and validation</x:v>
      </x:c>
      <x:c r="O140" s="16" t="str">
        <x:v>The cited source supports the selected label path and input exploration;execution observation;reproduction and validation; only observable workflow actions or outputs were retained.</x:v>
      </x:c>
      <x:c r="P140" s="16" t="str">
        <x:v>https://arxiv.org/abs/2602.19490 | Paper pp. 1–14 (stateful fuzzing/error repair), pp. 14–22 (evaluation/cases), and p. 28 (disclosure-status appendix). | excerpt pages 11</x:v>
      </x:c>
      <x:c r="Q140" s="16" t="str">
        <x:v>no</x:v>
      </x:c>
      <x:c r="R140" s="11" t="str"/>
      <x:c r="S140" s="11" t="str">
        <x:v>2026-08-12</x:v>
      </x:c>
      <x:c r="T140" s="18" t="str">
        <x:f>IF(OR(AND(N140="unresolved",LEN(O140)&gt;0,LEN(P140)&gt;0,Q140="yes"),AND(LEN(N140)&gt;0,LEN(O140)&gt;0,LEN(P140)&gt;0,OR(Q140="yes",Q140="no"))),"ready","pending")</x:f>
        <x:v>ready</x:v>
      </x:c>
    </x:row>
    <x:row r="141" ht="44" customHeight="1">
      <x:c r="A141" s="10" t="str">
        <x:v>U36__capability</x:v>
      </x:c>
      <x:c r="B141" s="11" t="str">
        <x:v>U36</x:v>
      </x:c>
      <x:c r="C141" s="11" t="str">
        <x:v>released_67</x:v>
      </x:c>
      <x:c r="D141" s="11" t="str">
        <x:v>FuzzySQL: Uncovering Hidden Vulnerabilities in DBMS Special Features with LLM-Driven Fuzzing</x:v>
      </x:c>
      <x:c r="E141" s="11" t="str">
        <x:v>cross-stage capability</x:v>
      </x:c>
      <x:c r="F141" s="11" t="str">
        <x:v>multi-label</x:v>
      </x:c>
      <x:c r="G141" s="11" t="str">
        <x:v>context aggregation / rule extraction;feedback interpretation / loop adjustment;long-horizon state management;validation organization / evidence packaging</x:v>
      </x:c>
      <x:c r="H141" s="11" t="str">
        <x:v>context aggregation / rule extraction;failure reuse / strategy update;feedback interpretation / loop adjustment;long-horizon state management;tool routing / strategy routing;validation organization / evidence packaging</x:v>
      </x:c>
      <x:c r="I141" s="11" t="str">
        <x:v>source-linked lead</x:v>
      </x:c>
      <x:c r="J141" s="11" t="str">
        <x:v>https://arxiv.org/abs/2602.19490 | Paper pp. 1–14 (stateful fuzzing/error repair), pp. 14–22 (evaluation/cases), and p. 28 (disclosure-status appendix). | excerpt pages 10, 11</x:v>
      </x:c>
      <x:c r="K141" s="11" t="str">
        <x:v>[p.10] SQL Error Handling Strategies Error Category Definition Repair Strategy SAF RBR SAR Duplicate Defini- tion A data object is defined more than once. – ✓ Unsupported Fea- ture Uses a feature or syntax not supported by the sys- tem. – ✓ Plugin / Component Errors Errors caused by failure or malfunction of plug- ins or components. [p.11] This filtering strategy allows FuzzySQL to avoid wasting repair budget on low-value failures while preserving inputs that are more likely to trigger meaningful feature interactions or deeper internal behaviors.</x:v>
      </x:c>
      <x:c r="L141" s="16" t="str">
        <x:v>A source-linked excerpt and locator are supplied as review leads; the cited source and locator should be retained for auditability.</x:v>
      </x:c>
      <x:c r="M141" s="16" t="str">
        <x:v>Require an explicit cross-stage connection. Information must guide later action; feedback must alter later action; packaging must assemble prior outputs; governance must enforce an actual gate.</x:v>
      </x:c>
      <x:c r="N141" s="16" t="str">
        <x:v>context aggregation / rule extraction;feedback interpretation / loop adjustment;validation organization / evidence packaging;long-horizon state management</x:v>
      </x:c>
      <x:c r="O141" s="16" t="str">
        <x:v>The cited source supports the selected label context aggregation / rule extraction;feedback interpretation / loop adjustment;validation organization / evidence packaging;long-horizon state management; each retained label requires an explicit connection that guides later action, feedback, packaging, or a gate.</x:v>
      </x:c>
      <x:c r="P141" s="16" t="str">
        <x:v>https://arxiv.org/abs/2602.19490 | Paper pp. 1–14 (stateful fuzzing/error repair), pp. 14–22 (evaluation/cases), and p. 28 (disclosure-status appendix). | excerpt pages 10, 11</x:v>
      </x:c>
      <x:c r="Q141" s="16" t="str">
        <x:v>no</x:v>
      </x:c>
      <x:c r="R141" s="11" t="str"/>
      <x:c r="S141" s="11" t="str">
        <x:v>2026-08-12</x:v>
      </x:c>
      <x:c r="T141" s="18" t="str">
        <x:f>IF(OR(AND(N141="unresolved",LEN(O141)&gt;0,LEN(P141)&gt;0,Q141="yes"),AND(LEN(N141)&gt;0,LEN(O141)&gt;0,LEN(P141)&gt;0,OR(Q141="yes",Q141="no"))),"ready","pending")</x:f>
        <x:v>ready</x:v>
      </x:c>
    </x:row>
    <x:row r="142" ht="44" customHeight="1">
      <x:c r="A142" s="10" t="str">
        <x:v>U37__lifecycle</x:v>
      </x:c>
      <x:c r="B142" s="11" t="str">
        <x:v>U37</x:v>
      </x:c>
      <x:c r="C142" s="11" t="str">
        <x:v>released_67</x:v>
      </x:c>
      <x:c r="D142" s="11" t="str">
        <x:v>QRS: A Rule-Synthesizing Neuro-Symbolic Triad for Autonomous Vulnerability Discovery</x:v>
      </x:c>
      <x:c r="E142" s="11" t="str">
        <x:v>lifecycle coverage</x:v>
      </x:c>
      <x:c r="F142" s="11" t="str">
        <x:v>multi-label</x:v>
      </x:c>
      <x:c r="G142" s="11" t="str">
        <x:v>candidate analysis;path and input exploration;reporting and audit;reproduction and validation</x:v>
      </x:c>
      <x:c r="H142" s="11" t="str">
        <x:v>candidate analysis;execution observation;path and input exploration;reporting and audit;reproduction and validation</x:v>
      </x:c>
      <x:c r="I142" s="11" t="str">
        <x:v>source-linked lead</x:v>
      </x:c>
      <x:c r="J142" s="11" t="str">
        <x:v>https://arxiv.org/abs/2602.09774 | Paper pp. 1–8 (QRS triad and validation), pp. 8–17 (historical/new-CVE evaluation), and CVE tables/appendices. | excerpt pages 2, 3</x:v>
      </x:c>
      <x:c r="K142" s="11" t="str">
        <x:v>[p.2] This architecture effectively mimics the workflow of an expert code auditor while maintaining low context windows, a bounded runtime, and manageable token costs, which are critical for practical deployment at scale. [p.3] Logic vulnerabilities that necessitate dynamic analysis constitute a complementary threat class that is better addressed by fuzzing or runtime testing.</x:v>
      </x:c>
      <x:c r="L142" s="16" t="str">
        <x:v>A source-linked excerpt and locator are supplied as review leads; the cited source and locator should be retained for auditability.</x:v>
      </x:c>
      <x:c r="M142" s="16" t="str">
        <x:v>Mark only observable lifecycle actions or outputs. Reporting and audit requires explicit packaging, routing, disclosure, or audit transition; a report name alone is insufficient.</x:v>
      </x:c>
      <x:c r="N142" s="16" t="str">
        <x:v>candidate analysis;path and input exploration;reproduction and validation;reporting and audit</x:v>
      </x:c>
      <x:c r="O142" s="16" t="str">
        <x:v>The cited source supports the selected label candidate analysis;path and input exploration;reproduction and validation;reporting and audit; only observable workflow actions or outputs were retained.</x:v>
      </x:c>
      <x:c r="P142" s="16" t="str">
        <x:v>https://arxiv.org/abs/2602.09774 | Paper pp. 1–8 (QRS triad and validation), pp. 8–17 (historical/new-CVE evaluation), and CVE tables/appendices. | excerpt pages 2, 3</x:v>
      </x:c>
      <x:c r="Q142" s="16" t="str">
        <x:v>no</x:v>
      </x:c>
      <x:c r="R142" s="11" t="str"/>
      <x:c r="S142" s="11" t="str">
        <x:v>2026-08-12</x:v>
      </x:c>
      <x:c r="T142" s="18" t="str">
        <x:f>IF(OR(AND(N142="unresolved",LEN(O142)&gt;0,LEN(P142)&gt;0,Q142="yes"),AND(LEN(N142)&gt;0,LEN(O142)&gt;0,LEN(P142)&gt;0,OR(Q142="yes",Q142="no"))),"ready","pending")</x:f>
        <x:v>ready</x:v>
      </x:c>
    </x:row>
    <x:row r="143" ht="44" customHeight="1">
      <x:c r="A143" s="10" t="str">
        <x:v>U38__lifecycle</x:v>
      </x:c>
      <x:c r="B143" s="11" t="str">
        <x:v>U38</x:v>
      </x:c>
      <x:c r="C143" s="11" t="str">
        <x:v>released_67</x:v>
      </x:c>
      <x:c r="D143" s="11" t="str">
        <x:v>A Dual-Loop Agent Framework for Automated Vulnerability Reproduction</x:v>
      </x:c>
      <x:c r="E143" s="11" t="str">
        <x:v>lifecycle coverage</x:v>
      </x:c>
      <x:c r="F143" s="11" t="str">
        <x:v>multi-label</x:v>
      </x:c>
      <x:c r="G143" s="11" t="str">
        <x:v>candidate analysis;execution observation;path and input exploration;reproduction and validation</x:v>
      </x:c>
      <x:c r="H143" s="11" t="str">
        <x:v>candidate analysis;execution observation;path and input exploration;reporting and audit;reproduction and validation</x:v>
      </x:c>
      <x:c r="I143" s="11" t="str">
        <x:v>source-linked lead</x:v>
      </x:c>
      <x:c r="J143" s="11" t="str">
        <x:v>https://arxiv.org/abs/2602.05721 | Paper pp. 1–10 (dual-loop reproduction architecture), pp. 10–18 (617-case evaluation and discussion). | excerpt pages 2, 3</x:v>
      </x:c>
      <x:c r="K143" s="11" t="str">
        <x:v>[p.2] Empirical studies show that successfully reproducing disclosed vulnerabilities remains challenging even for professional security teams due to inadequate information in reports [25], creating substantial uncertainty in vulnerability verification, patch validation, and defense deployment. [p.3] Given a vulnerability report 𝑉 containing a natural language description 𝐷, an affected software package𝑃, a vulnerable version 𝑣, and optional metadata 𝑀 (e.g., CVE identifiers, CVSS scores), the goal is to automatically generate an executable PoC exploit𝐸that satisfies three requirements: Triggering Requirement.The PoC must successfully trigger the vulnerability when executed against the vulnerable version 𝑃𝑣, demonstrating the security impact described in 𝐷.</x:v>
      </x:c>
      <x:c r="L143" s="16" t="str">
        <x:v>A source-linked excerpt and locator are supplied as review leads; the cited source and locator should be retained for auditability.</x:v>
      </x:c>
      <x:c r="M143" s="16" t="str">
        <x:v>Mark only observable lifecycle actions or outputs. Reporting and audit requires explicit packaging, routing, disclosure, or audit transition; a report name alone is insufficient.</x:v>
      </x:c>
      <x:c r="N143" s="16" t="str">
        <x:v>candidate analysis;path and input exploration;execution observation;reproduction and validation</x:v>
      </x:c>
      <x:c r="O143" s="16" t="str">
        <x:v>The cited source supports the selected label candidate analysis;path and input exploration;execution observation;reproduction and validation; only observable workflow actions or outputs were retained.</x:v>
      </x:c>
      <x:c r="P143" s="16" t="str">
        <x:v>https://arxiv.org/abs/2602.05721 | Paper pp. 1–10 (dual-loop reproduction architecture), pp. 10–18 (617-case evaluation and discussion). | excerpt pages 2, 3</x:v>
      </x:c>
      <x:c r="Q143" s="16" t="str">
        <x:v>no</x:v>
      </x:c>
      <x:c r="R143" s="11" t="str"/>
      <x:c r="S143" s="11" t="str">
        <x:v>2026-08-12</x:v>
      </x:c>
      <x:c r="T143" s="18" t="str">
        <x:f>IF(OR(AND(N143="unresolved",LEN(O143)&gt;0,LEN(P143)&gt;0,Q143="yes"),AND(LEN(N143)&gt;0,LEN(O143)&gt;0,LEN(P143)&gt;0,OR(Q143="yes",Q143="no"))),"ready","pending")</x:f>
        <x:v>ready</x:v>
      </x:c>
    </x:row>
    <x:row r="144" ht="44" customHeight="1">
      <x:c r="A144" s="10" t="str">
        <x:v>U39__primary_shape</x:v>
      </x:c>
      <x:c r="B144" s="11" t="str">
        <x:v>U39</x:v>
      </x:c>
      <x:c r="C144" s="11" t="str">
        <x:v>released_67</x:v>
      </x:c>
      <x:c r="D144" s="11" t="str">
        <x:v>Multi-Agent End-to-End Vulnerability Management for Mitigating Recurring Vulnerabilities</x:v>
      </x:c>
      <x:c r="E144" s="11" t="str">
        <x:v>primary system shape</x:v>
      </x:c>
      <x:c r="F144" s="11" t="str">
        <x:v>single-label</x:v>
      </x:c>
      <x:c r="G144" s="11" t="str">
        <x:v>candidate-analysis system</x:v>
      </x:c>
      <x:c r="H144" s="11" t="str">
        <x:v>long-horizon pentest and CRS agent</x:v>
      </x:c>
      <x:c r="I144" s="11" t="str">
        <x:v>source-linked lead</x:v>
      </x:c>
      <x:c r="J144" s="11" t="str">
        <x:v>https://arxiv.org/abs/2601.17762 | Paper pp. 1–7 (VKB and five-stage pipeline), pp. 7–11 (detection/repair evaluation and limitations). | excerpt pages 1</x:v>
      </x:c>
      <x:c r="K144" s="11" t="str">
        <x:v>[p.1] MA VMmainly consists of five agents, a vulnerability de- tector, and a vulnerability knowledge base (VKB):❶VKB stores comprehensive information of historical vulnerabilities, solving the challenge of underutilized historical vulnerabil- ity knowledge.❷Vulnerability Detectorperforms a rapid screening of the target repository to identify potential recurring vulnerabilities based on historical vulnerabilities stored in the VKB.❸Porting Agentports the analysis points from the historical vulnerability scene to the recurring vulnerability scene.❹Analyzing Agentexecutes the new analysis points to further confirm whether the detection result is truly vulnerable. arXiv:2601.17762v1 [cs.SE] 25 Jan 202</x:v>
      </x:c>
      <x:c r="L144" s="16" t="str">
        <x:v>A source-linked excerpt and locator are supplied as review leads; the cited source and locator should be retained for auditability.</x:v>
      </x:c>
      <x:c r="M144" s="16" t="str">
        <x:v>Choose the dominant locus and objective of agent control in the main evaluated contribution. Use the evaluation task and primary metrics to resolve ties; do not infer from agent count or system name.</x:v>
      </x:c>
      <x:c r="N144" s="16" t="str">
        <x:v>candidate-analysis system</x:v>
      </x:c>
      <x:c r="O144" s="16" t="str">
        <x:v>The cited source supports the selected label candidate-analysis system as the dominant evaluated locus and objective of agent control.</x:v>
      </x:c>
      <x:c r="P144" s="16" t="str">
        <x:v>https://arxiv.org/abs/2601.17762 | Paper pp. 1–7 (VKB and five-stage pipeline), pp. 7–11 (detection/repair evaluation and limitations). | excerpt pages 1</x:v>
      </x:c>
      <x:c r="Q144" s="16" t="str">
        <x:v>no</x:v>
      </x:c>
      <x:c r="R144" s="11" t="str"/>
      <x:c r="S144" s="11" t="str">
        <x:v>2026-08-12</x:v>
      </x:c>
      <x:c r="T144" s="18" t="str">
        <x:f>IF(OR(AND(N144="unresolved",LEN(O144)&gt;0,LEN(P144)&gt;0,Q144="yes"),AND(LEN(N144)&gt;0,LEN(O144)&gt;0,LEN(P144)&gt;0,OR(Q144="yes",Q144="no"))),"ready","pending")</x:f>
        <x:v>ready</x:v>
      </x:c>
    </x:row>
    <x:row r="145" ht="44" customHeight="1">
      <x:c r="A145" s="10" t="str">
        <x:v>U39__principal_evidence</x:v>
      </x:c>
      <x:c r="B145" s="11" t="str">
        <x:v>U39</x:v>
      </x:c>
      <x:c r="C145" s="11" t="str">
        <x:v>released_67</x:v>
      </x:c>
      <x:c r="D145" s="11" t="str">
        <x:v>Multi-Agent End-to-End Vulnerability Management for Mitigating Recurring Vulnerabilities</x:v>
      </x:c>
      <x:c r="E145" s="11" t="str">
        <x:v>principal reported evidence output</x:v>
      </x:c>
      <x:c r="F145" s="11" t="str">
        <x:v>single-label</x:v>
      </x:c>
      <x:c r="G145" s="11" t="str">
        <x:v>controlled task completion</x:v>
      </x:c>
      <x:c r="H145" s="11" t="str">
        <x:v>candidate judgment</x:v>
      </x:c>
      <x:c r="I145" s="11" t="str">
        <x:v>source-linked lead</x:v>
      </x:c>
      <x:c r="J145" s="11" t="str">
        <x:v>https://arxiv.org/abs/2601.17762 | Paper pp. 1–7 (VKB and five-stage pipeline), pp. 7–11 (detection/repair evaluation and limitations). | excerpt pages 10, 1</x:v>
      </x:c>
      <x:c r="K145" s="11" t="str">
        <x:v>[p.10] TABLE IV: The performance of various variants ofMA VM Approach Detection Phase Repair Phase TP FP FN Precision Recall F1-score TPC/TP Accuracy MA VM68214676.4%59.6%67.0% 51/68 (75.0%) 57.3% MA VM-c812233326.6%71.1%38.8% 54/81 (66.7%) 17.8% MA VM-v 69 32 45 68.3% 60.5% 64.2% 50/69 (72.5%) 49.5% v, and the variant without the confirmation component as MA VM-c. [p.1] On this dataset, MA VMsuccessfully detects and repairs 51 real vulnerabilities, outperforming baselines by 31.9%–45.2% in repair accuracy, which demonstrates its effectiveness.</x:v>
      </x:c>
      <x:c r="L145" s="16" t="str">
        <x:v>A source-linked excerpt and locator are supplied as review leads; the cited source and locator should be retained for auditability.</x:v>
      </x:c>
      <x:c r="M145" s="16" t="str">
        <x:v>Select the observable result most directly supporting the main finding. Benchmark ground truth or aggregate CVE counts do not automatically establish externally traceable material.</x:v>
      </x:c>
      <x:c r="N145" s="16" t="str">
        <x:v>controlled task completion</x:v>
      </x:c>
      <x:c r="O145" s="16" t="str">
        <x:v>The cited source supports the selected label controlled task completion as the main observable result reported for the study.</x:v>
      </x:c>
      <x:c r="P145" s="16" t="str">
        <x:v>https://arxiv.org/abs/2601.17762 | Paper pp. 1–7 (VKB and five-stage pipeline), pp. 7–11 (detection/repair evaluation and limitations). | excerpt pages 10, 1</x:v>
      </x:c>
      <x:c r="Q145" s="16" t="str">
        <x:v>no</x:v>
      </x:c>
      <x:c r="R145" s="11" t="str"/>
      <x:c r="S145" s="11" t="str">
        <x:v>2026-08-12</x:v>
      </x:c>
      <x:c r="T145" s="18" t="str">
        <x:f>IF(OR(AND(N145="unresolved",LEN(O145)&gt;0,LEN(P145)&gt;0,Q145="yes"),AND(LEN(N145)&gt;0,LEN(O145)&gt;0,LEN(P145)&gt;0,OR(Q145="yes",Q145="no"))),"ready","pending")</x:f>
        <x:v>ready</x:v>
      </x:c>
    </x:row>
    <x:row r="146" ht="44" customHeight="1">
      <x:c r="A146" s="10" t="str">
        <x:v>U40__lifecycle</x:v>
      </x:c>
      <x:c r="B146" s="11" t="str">
        <x:v>U40</x:v>
      </x:c>
      <x:c r="C146" s="11" t="str">
        <x:v>released_67</x:v>
      </x:c>
      <x:c r="D146" s="11" t="str">
        <x:v>VulnResolver: A Hybrid Agent Framework for LLM-Based Automated Vulnerability Issue Resolution</x:v>
      </x:c>
      <x:c r="E146" s="11" t="str">
        <x:v>lifecycle coverage</x:v>
      </x:c>
      <x:c r="F146" s="11" t="str">
        <x:v>multi-label</x:v>
      </x:c>
      <x:c r="G146" s="11" t="str">
        <x:v>candidate analysis;execution observation;patch validation;reproduction and validation</x:v>
      </x:c>
      <x:c r="H146" s="11" t="str">
        <x:v>candidate analysis;execution observation;patch validation;reporting and audit;reproduction and validation</x:v>
      </x:c>
      <x:c r="I146" s="11" t="str">
        <x:v>source-linked lead</x:v>
      </x:c>
      <x:c r="J146" s="11" t="str">
        <x:v>https://arxiv.org/abs/2601.13933 | Paper pp. 1–7 (hybrid issue-resolution workflow), pp. 7–13 (SEC-bench evaluation and conclusion). | excerpt pages 1</x:v>
      </x:c>
      <x:c r="K146" s="11" t="str">
        <x:v>[p.1] Together, these agents produce structured analyses that enrich the original issue reports, enabling more accurate vulnerability localization and patch generation. [p.1] Vulnerability detection techniques such as fuzzing have uncovered thousands of vulnerabilities in ∗ Corresponding author practice [7], [8], and bug finders typically file issue reports to notify maintainers (e.g., NJS-482 [9]).</x:v>
      </x:c>
      <x:c r="L146" s="16" t="str">
        <x:v>A source-linked excerpt and locator are supplied as review leads; the cited source and locator should be retained for auditability.</x:v>
      </x:c>
      <x:c r="M146" s="16" t="str">
        <x:v>Mark only observable lifecycle actions or outputs. Reporting and audit requires explicit packaging, routing, disclosure, or audit transition; a report name alone is insufficient.</x:v>
      </x:c>
      <x:c r="N146" s="16" t="str">
        <x:v>candidate analysis;execution observation;reproduction and validation;patch validation</x:v>
      </x:c>
      <x:c r="O146" s="16" t="str">
        <x:v>The cited source supports the selected label candidate analysis;execution observation;reproduction and validation;patch validation; only observable workflow actions or outputs were retained.</x:v>
      </x:c>
      <x:c r="P146" s="16" t="str">
        <x:v>https://arxiv.org/abs/2601.13933 | Paper pp. 1–7 (hybrid issue-resolution workflow), pp. 7–13 (SEC-bench evaluation and conclusion). | excerpt pages 1</x:v>
      </x:c>
      <x:c r="Q146" s="16" t="str">
        <x:v>no</x:v>
      </x:c>
      <x:c r="R146" s="11" t="str"/>
      <x:c r="S146" s="11" t="str">
        <x:v>2026-08-12</x:v>
      </x:c>
      <x:c r="T146" s="18" t="str">
        <x:f>IF(OR(AND(N146="unresolved",LEN(O146)&gt;0,LEN(P146)&gt;0,Q146="yes"),AND(LEN(N146)&gt;0,LEN(O146)&gt;0,LEN(P146)&gt;0,OR(Q146="yes",Q146="no"))),"ready","pending")</x:f>
        <x:v>ready</x:v>
      </x:c>
    </x:row>
    <x:row r="147" ht="44" customHeight="1">
      <x:c r="A147" s="10" t="str">
        <x:v>U40__capability</x:v>
      </x:c>
      <x:c r="B147" s="11" t="str">
        <x:v>U40</x:v>
      </x:c>
      <x:c r="C147" s="11" t="str">
        <x:v>released_67</x:v>
      </x:c>
      <x:c r="D147" s="11" t="str">
        <x:v>VulnResolver: A Hybrid Agent Framework for LLM-Based Automated Vulnerability Issue Resolution</x:v>
      </x:c>
      <x:c r="E147" s="11" t="str">
        <x:v>cross-stage capability</x:v>
      </x:c>
      <x:c r="F147" s="11" t="str">
        <x:v>multi-label</x:v>
      </x:c>
      <x:c r="G147" s="11" t="str">
        <x:v>context aggregation / rule extraction;feedback interpretation / loop adjustment;tool routing / strategy routing;validation organization / evidence packaging</x:v>
      </x:c>
      <x:c r="H147" s="11" t="str">
        <x:v>context aggregation / rule extraction;failure reuse / strategy update;feedback interpretation / loop adjustment;tool routing / strategy routing;validation organization / evidence packaging</x:v>
      </x:c>
      <x:c r="I147" s="11" t="str">
        <x:v>source-linked lead</x:v>
      </x:c>
      <x:c r="J147" s="11" t="str">
        <x:v>https://arxiv.org/abs/2601.13933 | Paper pp. 1–7 (hybrid issue-resolution workflow), pp. 7–13 (SEC-bench evaluation and conclusion). | excerpt pages 5</x:v>
      </x:c>
      <x:c r="K147" s="11" t="str">
        <x:v>[p.5] All tools return the execution status, failure reasons (e.g., no changes or empty rollback history), and the current commit history, including the number of commits, the full commit list, and the most recent commit. [p.5] To address this, we employ three strategies: (1) Truncate the logs, providing the shortened output. (2) Parse the logs to count passed and failed assertions, append- ing a summary at the top. (3) Store the full logs outside the LLM context window, in the toolkit’s RAM memory, retrievable by executing self-generated code via Python Code Execution Toolkit usingget_poc_output(name: str).</x:v>
      </x:c>
      <x:c r="L147" s="16" t="str">
        <x:v>A source-linked excerpt and locator are supplied as review leads; the cited source and locator should be retained for auditability.</x:v>
      </x:c>
      <x:c r="M147" s="16" t="str">
        <x:v>Require an explicit cross-stage connection. Information must guide later action; feedback must alter later action; packaging must assemble prior outputs; governance must enforce an actual gate.</x:v>
      </x:c>
      <x:c r="N147" s="16" t="str">
        <x:v>context aggregation / rule extraction;tool routing / strategy routing;feedback interpretation / loop adjustment;validation organization / evidence packaging</x:v>
      </x:c>
      <x:c r="O147" s="16" t="str">
        <x:v>The cited source supports the selected label context aggregation / rule extraction;tool routing / strategy routing;feedback interpretation / loop adjustment;validation organization / evidence packaging; each retained label requires an explicit connection that guides later action, feedback, packaging, or a gate.</x:v>
      </x:c>
      <x:c r="P147" s="16" t="str">
        <x:v>https://arxiv.org/abs/2601.13933 | Paper pp. 1–7 (hybrid issue-resolution workflow), pp. 7–13 (SEC-bench evaluation and conclusion). | excerpt pages 5</x:v>
      </x:c>
      <x:c r="Q147" s="16" t="str">
        <x:v>no</x:v>
      </x:c>
      <x:c r="R147" s="11" t="str"/>
      <x:c r="S147" s="11" t="str">
        <x:v>2026-08-12</x:v>
      </x:c>
      <x:c r="T147" s="18" t="str">
        <x:f>IF(OR(AND(N147="unresolved",LEN(O147)&gt;0,LEN(P147)&gt;0,Q147="yes"),AND(LEN(N147)&gt;0,LEN(O147)&gt;0,LEN(P147)&gt;0,OR(Q147="yes",Q147="no"))),"ready","pending")</x:f>
        <x:v>ready</x:v>
      </x:c>
    </x:row>
    <x:row r="148" ht="44" customHeight="1">
      <x:c r="A148" s="10" t="str">
        <x:v>FMS0105__capability</x:v>
      </x:c>
      <x:c r="B148" s="11" t="str">
        <x:v>FMS0105</x:v>
      </x:c>
      <x:c r="C148" s="11" t="str">
        <x:v>final_multisource_132</x:v>
      </x:c>
      <x:c r="D148" s="11" t="str">
        <x:v>Adaptive Plan-Execute Framework for Smart Contract Security Auditing</x:v>
      </x:c>
      <x:c r="E148" s="11" t="str">
        <x:v>cross-stage capability</x:v>
      </x:c>
      <x:c r="F148" s="11" t="str">
        <x:v>multi-label</x:v>
      </x:c>
      <x:c r="G148" s="11" t="str">
        <x:v>context aggregation / rule extraction;feedback interpretation / loop adjustment;long-horizon state management;tool routing / strategy routing</x:v>
      </x:c>
      <x:c r="H148" s="11" t="str">
        <x:v>context aggregation / rule extraction;feedback interpretation / loop adjustment;long-horizon state management;tool routing / strategy routing;validation organization / evidence packaging</x:v>
      </x:c>
      <x:c r="I148" s="11" t="str">
        <x:v>source-linked lead</x:v>
      </x:c>
      <x:c r="J148" s="11" t="str">
        <x:v>https://arxiv.org/pdf/2505.15242 | role p.2; action p.1; feedback p.1; validation p.2; evaluation p.1</x:v>
      </x:c>
      <x:c r="K148" s="11" t="str">
        <x:v>smart contract. Unlike static, rule-based workflows, our approach iteratively generates and refines audit plans in response to intermediate outputs and newly detected vulnerabilities. To improve reliability, the framework incorporates structured reasoning, prompt optimization, and external tools such as static analyzers and Ret</x:v>
      </x:c>
      <x:c r="L148" s="16" t="str">
        <x:v>A source-linked excerpt and locator are supplied as review leads for auditability.</x:v>
      </x:c>
      <x:c r="M148" s="16" t="str">
        <x:v>Require an explicit cross-stage connection. Information must guide later action; feedback must alter later action; packaging must assemble prior outputs; governance must enforce an actual gate.</x:v>
      </x:c>
      <x:c r="N148" s="16" t="str">
        <x:v>context aggregation / rule extraction;tool routing / strategy routing;feedback interpretation / loop adjustment;long-horizon state management</x:v>
      </x:c>
      <x:c r="O148"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148" s="16" t="str">
        <x:v>https://arxiv.org/pdf/2505.15242 | role p.2; action p.1; feedback p.1; validation p.2; evaluation p.1</x:v>
      </x:c>
      <x:c r="Q148" s="16" t="str">
        <x:v>no</x:v>
      </x:c>
      <x:c r="R148" s="11" t="str"/>
      <x:c r="S148" s="11" t="str">
        <x:v>2026-08-12</x:v>
      </x:c>
      <x:c r="T148" s="18" t="str">
        <x:f>IF(OR(AND(N148="unresolved",LEN(O148)&gt;0,LEN(P148)&gt;0,Q148="yes"),AND(LEN(N148)&gt;0,LEN(O148)&gt;0,LEN(P148)&gt;0,OR(Q148="yes",Q148="no"))),"ready","pending")</x:f>
        <x:v>ready</x:v>
      </x:c>
    </x:row>
    <x:row r="149" ht="44" customHeight="1">
      <x:c r="A149" s="10" t="str">
        <x:v>FMS0109__capability</x:v>
      </x:c>
      <x:c r="B149" s="11" t="str">
        <x:v>FMS0109</x:v>
      </x:c>
      <x:c r="C149" s="11" t="str">
        <x:v>final_multisource_132</x:v>
      </x:c>
      <x:c r="D149" s="11" t="str">
        <x:v>Advanced Smart Contract Vulnerability Detection via LLM-Powered Multi-Agent Systems</x:v>
      </x:c>
      <x:c r="E149" s="11" t="str">
        <x:v>cross-stage capability</x:v>
      </x:c>
      <x:c r="F149" s="11" t="str">
        <x:v>multi-label</x:v>
      </x:c>
      <x:c r="G149" s="11" t="str">
        <x:v>context aggregation / rule extraction;feedback interpretation / loop adjustment;long-horizon state management</x:v>
      </x:c>
      <x:c r="H149" s="11" t="str">
        <x:v>context aggregation / rule extraction;feedback interpretation / loop adjustment;long-horizon state management;tool routing / strategy routing;validation organization / evidence packaging</x:v>
      </x:c>
      <x:c r="I149" s="11" t="str">
        <x:v>source-linked lead</x:v>
      </x:c>
      <x:c r="J149" s="11" t="str">
        <x:v>https://daoyuan14.github.io/papers/TSE25_LLM-SmartAudit.pdf | role p.1; action p.1; feedback p.1; validation p.2; evaluation p.2</x:v>
      </x:c>
      <x:c r="K149" s="11" t="str">
        <x:v>nificant increase in LLMs adoption over the past five years, enables a collaborative system of specialized agents to iteratively accompanied by a rapid rise in software engineering. LLM refine their assessments, enhancing the accuracy and depth tools are primarily categorized into commercial products and of vulnerability detection. To evaluate its effectiveness, LLM- open-source initia</x:v>
      </x:c>
      <x:c r="L149" s="16" t="str">
        <x:v>A source-linked excerpt and locator are supplied as review leads for auditability.</x:v>
      </x:c>
      <x:c r="M149" s="16" t="str">
        <x:v>Require an explicit cross-stage connection. Information must guide later action; feedback must alter later action; packaging must assemble prior outputs; governance must enforce an actual gate.</x:v>
      </x:c>
      <x:c r="N149" s="16" t="str">
        <x:v>context aggregation / rule extraction;feedback interpretation / loop adjustment;long-horizon state management</x:v>
      </x:c>
      <x:c r="O149" s="16" t="str">
        <x:v>The cited source supports the selected label context aggregation / rule extraction;feedback interpretation / loop adjustment;long-horizon state management; each retained label requires an explicit connection that guides later action, feedback, packaging, or a gate.</x:v>
      </x:c>
      <x:c r="P149" s="16" t="str">
        <x:v>https://daoyuan14.github.io/papers/TSE25_LLM-SmartAudit.pdf | role p.1; action p.1; feedback p.1; validation p.2; evaluation p.2</x:v>
      </x:c>
      <x:c r="Q149" s="16" t="str">
        <x:v>no</x:v>
      </x:c>
      <x:c r="R149" s="11" t="str"/>
      <x:c r="S149" s="11" t="str">
        <x:v>2026-08-12</x:v>
      </x:c>
      <x:c r="T149" s="18" t="str">
        <x:f>IF(OR(AND(N149="unresolved",LEN(O149)&gt;0,LEN(P149)&gt;0,Q149="yes"),AND(LEN(N149)&gt;0,LEN(O149)&gt;0,LEN(P149)&gt;0,OR(Q149="yes",Q149="no"))),"ready","pending")</x:f>
        <x:v>ready</x:v>
      </x:c>
    </x:row>
    <x:row r="150" ht="44" customHeight="1">
      <x:c r="A150" s="10" t="str">
        <x:v>FMS0134__lifecycle</x:v>
      </x:c>
      <x:c r="B150" s="11" t="str">
        <x:v>FMS0134</x:v>
      </x:c>
      <x:c r="C150" s="11" t="str">
        <x:v>final_multisource_132</x:v>
      </x:c>
      <x:c r="D150" s="11" t="str">
        <x:v>Agent That Debugs: Dynamic State-Guided Vulnerability Repair</x:v>
      </x:c>
      <x:c r="E150" s="11" t="str">
        <x:v>lifecycle coverage</x:v>
      </x:c>
      <x:c r="F150" s="11" t="str">
        <x:v>multi-label</x:v>
      </x:c>
      <x:c r="G150" s="11" t="str">
        <x:v>candidate analysis;execution observation;patch validation;reproduction and validation</x:v>
      </x:c>
      <x:c r="H150" s="11" t="str">
        <x:v>candidate analysis;execution observation;patch validation;path and input exploration;reporting and audit;reproduction and validation</x:v>
      </x:c>
      <x:c r="I150" s="11" t="str">
        <x:v>source-linked lead</x:v>
      </x:c>
      <x:c r="J150" s="11" t="str">
        <x:v>https://arxiv.org/pdf/2504.07634 | role p.1; action p.1; feedback p.3; validation p.3; evaluation p.1</x:v>
      </x:c>
      <x:c r="K150" s="11" t="str">
        <x:v>increasing the exposure of software systems to attacks. Recent advancements in agents based on Large Language Models have demonstrated their increasing capabilities in code understanding and generation, which can be promising to achieve automated vulnerability repair. However, the effectiveness</x:v>
      </x:c>
      <x:c r="L150" s="16" t="str">
        <x:v>A source-linked excerpt and locator are supplied as review leads for auditability.</x:v>
      </x:c>
      <x:c r="M150" s="16" t="str">
        <x:v>Mark only observable lifecycle actions or outputs. Reporting and audit requires explicit packaging, routing, disclosure, or audit transition; a report name alone is insufficient.</x:v>
      </x:c>
      <x:c r="N150" s="16" t="str">
        <x:v>candidate analysis;execution observation;reproduction and validation;patch validation</x:v>
      </x:c>
      <x:c r="O150" s="16" t="str">
        <x:v>The cited source supports the selected label candidate analysis;execution observation;reproduction and validation;patch validation; only observable workflow actions or outputs were retained.</x:v>
      </x:c>
      <x:c r="P150" s="16" t="str">
        <x:v>https://arxiv.org/pdf/2504.07634 | role p.1; action p.1; feedback p.3; validation p.3; evaluation p.1</x:v>
      </x:c>
      <x:c r="Q150" s="16" t="str">
        <x:v>no</x:v>
      </x:c>
      <x:c r="R150" s="11" t="str"/>
      <x:c r="S150" s="11" t="str">
        <x:v>2026-08-12</x:v>
      </x:c>
      <x:c r="T150" s="18" t="str">
        <x:f>IF(OR(AND(N150="unresolved",LEN(O150)&gt;0,LEN(P150)&gt;0,Q150="yes"),AND(LEN(N150)&gt;0,LEN(O150)&gt;0,LEN(P150)&gt;0,OR(Q150="yes",Q150="no"))),"ready","pending")</x:f>
        <x:v>ready</x:v>
      </x:c>
    </x:row>
    <x:row r="151" ht="44" customHeight="1">
      <x:c r="A151" s="10" t="str">
        <x:v>FMS0134__capability</x:v>
      </x:c>
      <x:c r="B151" s="11" t="str">
        <x:v>FMS0134</x:v>
      </x:c>
      <x:c r="C151" s="11" t="str">
        <x:v>final_multisource_132</x:v>
      </x:c>
      <x:c r="D151" s="11" t="str">
        <x:v>Agent That Debugs: Dynamic State-Guided Vulnerability Repair</x:v>
      </x:c>
      <x:c r="E151" s="11" t="str">
        <x:v>cross-stage capability</x:v>
      </x:c>
      <x:c r="F151" s="11" t="str">
        <x:v>multi-label</x:v>
      </x:c>
      <x:c r="G151" s="11" t="str">
        <x:v>context aggregation / rule extraction;failure reuse / strategy update;feedback interpretation / loop adjustment;long-horizon state management;tool routing / strategy routing;validation organization / evidence packaging</x:v>
      </x:c>
      <x:c r="H151" s="11" t="str">
        <x:v>context aggregation / rule extraction;failure reuse / strategy update;feedback interpretation / loop adjustment;tool routing / strategy routing;validation organization / evidence packaging</x:v>
      </x:c>
      <x:c r="I151" s="11" t="str">
        <x:v>source-linked lead</x:v>
      </x:c>
      <x:c r="J151" s="11" t="str">
        <x:v>https://arxiv.org/pdf/2504.07634 | role p.1; action p.1; feedback p.3; validation p.3; evaluation p.1</x:v>
      </x:c>
      <x:c r="K151" s="11" t="str">
        <x:v>In this process, inferring the expected state is one of the biggest challenges. To solve this problem, inspired by the crash-free constraints [21], i.e., vulnerability-free constraints, we propose to infer expected states via constraints that need to be satisfied to fix the vulnerabilities. Specifically, this approach extracts “crash-free” constraints at the “crash” location (using sanitizers to trigger a crash for a vulnerability) that can disable the observed vulnerabilities. T</x:v>
      </x:c>
      <x:c r="L151" s="16" t="str">
        <x:v>A source-linked excerpt and locator are supplied as review leads for auditability.</x:v>
      </x:c>
      <x:c r="M151" s="16" t="str">
        <x:v>Require an explicit cross-stage connection. Information must guide later action; feedback must alter later action; packaging must assemble prior outputs; governance must enforce an actual gate.</x:v>
      </x:c>
      <x:c r="N151" s="16" t="str">
        <x:v>context aggregation / rule extraction;tool routing / strategy routing;feedback interpretation / loop adjustment;validation organization / evidence packaging;long-horizon state management;failure reuse / strategy update</x:v>
      </x:c>
      <x:c r="O151"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51" s="16" t="str">
        <x:v>https://arxiv.org/pdf/2504.07634 | role p.1; action p.1; feedback p.3; validation p.3; evaluation p.1</x:v>
      </x:c>
      <x:c r="Q151" s="16" t="str">
        <x:v>no</x:v>
      </x:c>
      <x:c r="R151" s="11" t="str"/>
      <x:c r="S151" s="11" t="str">
        <x:v>2026-08-12</x:v>
      </x:c>
      <x:c r="T151" s="18" t="str">
        <x:f>IF(OR(AND(N151="unresolved",LEN(O151)&gt;0,LEN(P151)&gt;0,Q151="yes"),AND(LEN(N151)&gt;0,LEN(O151)&gt;0,LEN(P151)&gt;0,OR(Q151="yes",Q151="no"))),"ready","pending")</x:f>
        <x:v>ready</x:v>
      </x:c>
    </x:row>
    <x:row r="152" ht="44" customHeight="1">
      <x:c r="A152" s="10" t="str">
        <x:v>FMS0152__lifecycle</x:v>
      </x:c>
      <x:c r="B152" s="11" t="str">
        <x:v>FMS0152</x:v>
      </x:c>
      <x:c r="C152" s="11" t="str">
        <x:v>final_multisource_132</x:v>
      </x:c>
      <x:c r="D152" s="11" t="str">
        <x:v>Agentic Vulnerability Reasoning on COTS Binaries</x:v>
      </x:c>
      <x:c r="E152" s="11" t="str">
        <x:v>lifecycle coverage</x:v>
      </x:c>
      <x:c r="F152" s="11" t="str">
        <x:v>multi-label</x:v>
      </x:c>
      <x:c r="G152" s="11" t="str">
        <x:v>candidate analysis;execution observation;path and input exploration;reproduction and validation</x:v>
      </x:c>
      <x:c r="H152" s="11" t="str">
        <x:v>candidate analysis;execution observation;path and input exploration;reporting and audit;reproduction and validation</x:v>
      </x:c>
      <x:c r="I152" s="11" t="str">
        <x:v>source-linked lead</x:v>
      </x:c>
      <x:c r="J152" s="11" t="str">
        <x:v>https://arxiv.org/pdf/2605.05000 | role p.1; action p.1; feedback p.1; validation p.1; evaluation p.1</x:v>
      </x:c>
      <x:c r="K152" s="11" t="str">
        <x:v>Agentic Vulnerability Reasoning on COTS Binaries Hwiwon Lee∗,† Jo</x:v>
      </x:c>
      <x:c r="L152" s="16" t="str">
        <x:v>A source-linked excerpt and locator are supplied as review leads for auditability.</x:v>
      </x:c>
      <x:c r="M152" s="16" t="str">
        <x:v>Mark only observable lifecycle actions or outputs. Reporting and audit requires explicit packaging, routing, disclosure, or audit transition; a report name alone is insufficient.</x:v>
      </x:c>
      <x:c r="N152" s="16" t="str">
        <x:v>candidate analysis;path and input exploration;execution observation;reproduction and validation</x:v>
      </x:c>
      <x:c r="O152" s="16" t="str">
        <x:v>The cited source supports the selected label candidate analysis;path and input exploration;execution observation;reproduction and validation; only observable workflow actions or outputs were retained.</x:v>
      </x:c>
      <x:c r="P152" s="16" t="str">
        <x:v>https://arxiv.org/pdf/2605.05000 | role p.1; action p.1; feedback p.1; validation p.1; evaluation p.1</x:v>
      </x:c>
      <x:c r="Q152" s="16" t="str">
        <x:v>no</x:v>
      </x:c>
      <x:c r="R152" s="11" t="str"/>
      <x:c r="S152" s="11" t="str">
        <x:v>2026-08-12</x:v>
      </x:c>
      <x:c r="T152" s="18" t="str">
        <x:f>IF(OR(AND(N152="unresolved",LEN(O152)&gt;0,LEN(P152)&gt;0,Q152="yes"),AND(LEN(N152)&gt;0,LEN(O152)&gt;0,LEN(P152)&gt;0,OR(Q152="yes",Q152="no"))),"ready","pending")</x:f>
        <x:v>ready</x:v>
      </x:c>
    </x:row>
    <x:row r="153" ht="44" customHeight="1">
      <x:c r="A153" s="10" t="str">
        <x:v>FMS0152__capability</x:v>
      </x:c>
      <x:c r="B153" s="11" t="str">
        <x:v>FMS0152</x:v>
      </x:c>
      <x:c r="C153" s="11" t="str">
        <x:v>final_multisource_132</x:v>
      </x:c>
      <x:c r="D153" s="11" t="str">
        <x:v>Agentic Vulnerability Reasoning on COTS Binaries</x:v>
      </x:c>
      <x:c r="E153" s="11" t="str">
        <x:v>cross-stage capability</x:v>
      </x:c>
      <x:c r="F153" s="11" t="str">
        <x:v>multi-label</x:v>
      </x:c>
      <x:c r="G153" s="11" t="str">
        <x:v>context aggregation / rule extraction;failure reuse / strategy update;feedback interpretation / loop adjustment;long-horizon state management;tool routing / strategy routing;validation organization / evidence packaging</x:v>
      </x:c>
      <x:c r="H153" s="11" t="str">
        <x:v>context aggregation / rule extraction;failure reuse / strategy update;feedback interpretation / loop adjustment;tool routing / strategy routing;validation organization / evidence packaging</x:v>
      </x:c>
      <x:c r="I153" s="11" t="str">
        <x:v>source-linked lead</x:v>
      </x:c>
      <x:c r="J153" s="11" t="str">
        <x:v>https://arxiv.org/pdf/2605.05000 | role p.1; action p.1; feedback p.1; validation p.1; evaluation p.1</x:v>
      </x:c>
      <x:c r="K153" s="11" t="str">
        <x:v>while other systems rely synthesizing debugger-verified proof-of-concept (PoC) crashes. We on handcrafted queries, fuzzing harnesses, or source-level evaluate S LYP and production coding agents, including Claude representations that are unavailable for production Windows Code and Codex, on COTS Windows binaries centered on a 20- binaries [5, 7, 8].</x:v>
      </x:c>
      <x:c r="L153" s="16" t="str">
        <x:v>A source-linked excerpt and locator are supplied as review leads for auditability.</x:v>
      </x:c>
      <x:c r="M153" s="16" t="str">
        <x:v>Require an explicit cross-stage connection. Information must guide later action; feedback must alter later action; packaging must assemble prior outputs; governance must enforce an actual gate.</x:v>
      </x:c>
      <x:c r="N153" s="16" t="str">
        <x:v>context aggregation / rule extraction;tool routing / strategy routing;feedback interpretation / loop adjustment;validation organization / evidence packaging;long-horizon state management;failure reuse / strategy update</x:v>
      </x:c>
      <x:c r="O153"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53" s="16" t="str">
        <x:v>https://arxiv.org/pdf/2605.05000 | role p.1; action p.1; feedback p.1; validation p.1; evaluation p.1</x:v>
      </x:c>
      <x:c r="Q153" s="16" t="str">
        <x:v>no</x:v>
      </x:c>
      <x:c r="R153" s="11" t="str"/>
      <x:c r="S153" s="11" t="str">
        <x:v>2026-08-12</x:v>
      </x:c>
      <x:c r="T153" s="18" t="str">
        <x:f>IF(OR(AND(N153="unresolved",LEN(O153)&gt;0,LEN(P153)&gt;0,Q153="yes"),AND(LEN(N153)&gt;0,LEN(O153)&gt;0,LEN(P153)&gt;0,OR(Q153="yes",Q153="no"))),"ready","pending")</x:f>
        <x:v>ready</x:v>
      </x:c>
    </x:row>
    <x:row r="154" ht="44" customHeight="1">
      <x:c r="A154" s="10" t="str">
        <x:v>FMS0152__external_traceability</x:v>
      </x:c>
      <x:c r="B154" s="11" t="str">
        <x:v>FMS0152</x:v>
      </x:c>
      <x:c r="C154" s="11" t="str">
        <x:v>final_multisource_132</x:v>
      </x:c>
      <x:c r="D154" s="11" t="str">
        <x:v>Agentic Vulnerability Reasoning on COTS Binaries</x:v>
      </x:c>
      <x:c r="E154" s="11" t="str">
        <x:v>external traceability</x:v>
      </x:c>
      <x:c r="F154" s="11" t="str">
        <x:v>single-label</x:v>
      </x:c>
      <x:c r="G154" s="11" t="str">
        <x:v>benchmark ground truth / public material</x:v>
      </x:c>
      <x:c r="H154" s="11" t="str">
        <x:v>author-reported external clue</x:v>
      </x:c>
      <x:c r="I154" s="11" t="str">
        <x:v>source-linked lead</x:v>
      </x:c>
      <x:c r="J154" s="11" t="str">
        <x:v>https://arxiv.org/pdf/2605.05000 | role p.1; action p.1; feedback p.1; validation p.1; evaluation p.1</x:v>
      </x:c>
      <x:c r="K154" s="11" t="str">
        <x:v>ous code pattern, but also to reason solving security tasks. However, existing evaluations usually from binary evidence to a feasible root cause and then validate require source code access, while commercial off-the-shelf (COTS) that hypothesis with a working proof-of-concept (PoC). binaries dominate deployed software and require reasoning from</x:v>
      </x:c>
      <x:c r="L154" s="16" t="str">
        <x:v>A source-linked excerpt and locator are supplied as review leads for auditability.</x:v>
      </x:c>
      <x:c r="M154" s="16" t="str">
        <x:v>Code separately from principal output. Only item-level alignment between a concrete system result and a specific public external record qualifies as publicly aligned external trace.</x:v>
      </x:c>
      <x:c r="N154" s="16" t="str">
        <x:v>benchmark ground truth / public material</x:v>
      </x:c>
      <x:c r="O154" s="16" t="str">
        <x:v>The cited source supports the selected label benchmark ground truth / public material under the codebook's item-level public-record alignment criterion.</x:v>
      </x:c>
      <x:c r="P154" s="16" t="str">
        <x:v>https://arxiv.org/pdf/2605.05000 | role p.1; action p.1; feedback p.1; validation p.1; evaluation p.1</x:v>
      </x:c>
      <x:c r="Q154" s="16" t="str">
        <x:v>no</x:v>
      </x:c>
      <x:c r="R154" s="11" t="str"/>
      <x:c r="S154" s="11" t="str">
        <x:v>2026-08-12</x:v>
      </x:c>
      <x:c r="T154" s="18" t="str">
        <x:f>IF(OR(AND(N154="unresolved",LEN(O154)&gt;0,LEN(P154)&gt;0,Q154="yes"),AND(LEN(N154)&gt;0,LEN(O154)&gt;0,LEN(P154)&gt;0,OR(Q154="yes",Q154="no"))),"ready","pending")</x:f>
        <x:v>ready</x:v>
      </x:c>
    </x:row>
    <x:row r="155" ht="44" customHeight="1">
      <x:c r="A155" s="10" t="str">
        <x:v>FMS0212__lifecycle</x:v>
      </x:c>
      <x:c r="B155" s="11" t="str">
        <x:v>FMS0212</x:v>
      </x:c>
      <x:c r="C155" s="11" t="str">
        <x:v>final_multisource_132</x:v>
      </x:c>
      <x:c r="D155" s="11" t="str">
        <x:v>APT-Agent: Automated Penetration Testing using Large Language Models</x:v>
      </x:c>
      <x:c r="E155" s="11" t="str">
        <x:v>lifecycle coverage</x:v>
      </x:c>
      <x:c r="F155" s="11" t="str">
        <x:v>multi-label</x:v>
      </x:c>
      <x:c r="G155" s="11" t="str">
        <x:v>execution observation;path and input exploration;reporting and audit;reproduction and validation</x:v>
      </x:c>
      <x:c r="H155" s="11" t="str">
        <x:v>candidate analysis;execution observation;path and input exploration;reporting and audit</x:v>
      </x:c>
      <x:c r="I155" s="11" t="str">
        <x:v>source-linked lead</x:v>
      </x:c>
      <x:c r="J155" s="11" t="str">
        <x:v>https://arxiv.org/pdf/2605.24949 | role p.1; action p.1; feedback p.1; validation p.1; evaluation p.1</x:v>
      </x:c>
      <x:c r="K155" s="11" t="str">
        <x:v>n module to recover hallucinated commands and a command-specific mem- LLM-driven decisions, while Xu et al. [14] proposed a Plan- ory architecture to preserve operational context across multi-step ner, Na</x:v>
      </x:c>
      <x:c r="L155" s="16" t="str">
        <x:v>A source-linked excerpt and locator are supplied as review leads for auditability.</x:v>
      </x:c>
      <x:c r="M155" s="16" t="str">
        <x:v>Mark only observable lifecycle actions or outputs. Reporting and audit requires explicit packaging, routing, disclosure, or audit transition; a report name alone is insufficient.</x:v>
      </x:c>
      <x:c r="N155" s="16" t="str">
        <x:v>path and input exploration;execution observation;reproduction and validation;reporting and audit</x:v>
      </x:c>
      <x:c r="O155" s="16" t="str">
        <x:v>The cited source supports the selected label path and input exploration;execution observation;reproduction and validation;reporting and audit; only observable workflow actions or outputs were retained.</x:v>
      </x:c>
      <x:c r="P155" s="16" t="str">
        <x:v>https://arxiv.org/pdf/2605.24949 | role p.1; action p.1; feedback p.1; validation p.1; evaluation p.1</x:v>
      </x:c>
      <x:c r="Q155" s="16" t="str">
        <x:v>no</x:v>
      </x:c>
      <x:c r="R155" s="11" t="str"/>
      <x:c r="S155" s="11" t="str">
        <x:v>2026-08-12</x:v>
      </x:c>
      <x:c r="T155" s="18" t="str">
        <x:f>IF(OR(AND(N155="unresolved",LEN(O155)&gt;0,LEN(P155)&gt;0,Q155="yes"),AND(LEN(N155)&gt;0,LEN(O155)&gt;0,LEN(P155)&gt;0,OR(Q155="yes",Q155="no"))),"ready","pending")</x:f>
        <x:v>ready</x:v>
      </x:c>
    </x:row>
    <x:row r="156" ht="44" customHeight="1">
      <x:c r="A156" s="10" t="str">
        <x:v>FMS0212__capability</x:v>
      </x:c>
      <x:c r="B156" s="11" t="str">
        <x:v>FMS0212</x:v>
      </x:c>
      <x:c r="C156" s="11" t="str">
        <x:v>final_multisource_132</x:v>
      </x:c>
      <x:c r="D156" s="11" t="str">
        <x:v>APT-Agent: Automated Penetration Testing using Large Language Models</x:v>
      </x:c>
      <x:c r="E156" s="11" t="str">
        <x:v>cross-stage capability</x:v>
      </x:c>
      <x:c r="F156" s="11" t="str">
        <x:v>multi-label</x:v>
      </x:c>
      <x:c r="G156" s="11" t="str">
        <x:v>failure reuse / strategy update;feedback interpretation / loop adjustment;long-horizon state management;tool routing / strategy routing;validation organization / evidence packaging</x:v>
      </x:c>
      <x:c r="H156" s="11" t="str">
        <x:v>context aggregation / rule extraction;failure reuse / strategy update;feedback interpretation / loop adjustment;governance / human gates / disclosure control;long-horizon state management;tool routing / strategy routing;validation organization / evidence packaging</x:v>
      </x:c>
      <x:c r="I156" s="11" t="str">
        <x:v>source-linked lead</x:v>
      </x:c>
      <x:c r="J156" s="11" t="str">
        <x:v>https://arxiv.org/pdf/2605.24949 | role p.1; action p.1; feedback p.1; validation p.1; evaluation p.1</x:v>
      </x:c>
      <x:c r="K156" s="11" t="str">
        <x:v>term con- testing workflows. Fang et al. [11], [12] demonstrated LLM textual memory. To address these issues, we present APT-Agent, agents capable of autonomously discovering and exploiting a fully automated LLM-driven penetration testing framework vulnerabilities in websites and one-day CVEs. Deng et al. that systematically orchestrates rec</x:v>
      </x:c>
      <x:c r="L156" s="16" t="str">
        <x:v>A source-linked excerpt and locator are supplied as review leads for auditability.</x:v>
      </x:c>
      <x:c r="M156" s="16" t="str">
        <x:v>Require an explicit cross-stage connection. Information must guide later action; feedback must alter later action; packaging must assemble prior outputs; governance must enforce an actual gate.</x:v>
      </x:c>
      <x:c r="N156" s="16" t="str">
        <x:v>tool routing / strategy routing;feedback interpretation / loop adjustment;validation organization / evidence packaging;long-horizon state management;failure reuse / strategy update</x:v>
      </x:c>
      <x:c r="O156" s="16" t="str">
        <x:v>The cited source supports the selected label 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56" s="16" t="str">
        <x:v>https://arxiv.org/pdf/2605.24949 | role p.1; action p.1; feedback p.1; validation p.1; evaluation p.1</x:v>
      </x:c>
      <x:c r="Q156" s="16" t="str">
        <x:v>no</x:v>
      </x:c>
      <x:c r="R156" s="11" t="str"/>
      <x:c r="S156" s="11" t="str">
        <x:v>2026-08-12</x:v>
      </x:c>
      <x:c r="T156" s="18" t="str">
        <x:f>IF(OR(AND(N156="unresolved",LEN(O156)&gt;0,LEN(P156)&gt;0,Q156="yes"),AND(LEN(N156)&gt;0,LEN(O156)&gt;0,LEN(P156)&gt;0,OR(Q156="yes",Q156="no"))),"ready","pending")</x:f>
        <x:v>ready</x:v>
      </x:c>
    </x:row>
    <x:row r="157" ht="44" customHeight="1">
      <x:c r="A157" s="10" t="str">
        <x:v>FMS0212__external_traceability</x:v>
      </x:c>
      <x:c r="B157" s="11" t="str">
        <x:v>FMS0212</x:v>
      </x:c>
      <x:c r="C157" s="11" t="str">
        <x:v>final_multisource_132</x:v>
      </x:c>
      <x:c r="D157" s="11" t="str">
        <x:v>APT-Agent: Automated Penetration Testing using Large Language Models</x:v>
      </x:c>
      <x:c r="E157" s="11" t="str">
        <x:v>external traceability</x:v>
      </x:c>
      <x:c r="F157" s="11" t="str">
        <x:v>single-label</x:v>
      </x:c>
      <x:c r="G157" s="11" t="str">
        <x:v>benchmark ground truth / public material</x:v>
      </x:c>
      <x:c r="H157" s="11" t="str">
        <x:v>no external trace reported</x:v>
      </x:c>
      <x:c r="I157" s="11" t="str">
        <x:v>source-linked lead</x:v>
      </x:c>
      <x:c r="J157" s="11" t="str">
        <x:v>https://arxiv.org/pdf/2605.24949 | role p.1; action p.1; feedback p.1; validation p.1; evaluation p.1</x:v>
      </x:c>
      <x:c r="K157" s="11" t="str">
        <x:v>ner, Navigator, Summarizer pipeline enhanced with retrieval- attack sequences. We evaluate our APT-Agent on Metasploitable augmented generation (RAG), which also explored whether 2 against seven vulnerable services spanning web, database, LLMs can simulate hands-on-keyboard post-breach actions, and network protocols. APT-Agent achieves an 84.29% end- incl</x:v>
      </x:c>
      <x:c r="L157" s="16" t="str">
        <x:v>A source-linked excerpt and locator are supplied as review leads for auditability.</x:v>
      </x:c>
      <x:c r="M157" s="16" t="str">
        <x:v>Code separately from principal output. Only item-level alignment between a concrete system result and a specific public external record qualifies as publicly aligned external trace.</x:v>
      </x:c>
      <x:c r="N157" s="16" t="str">
        <x:v>benchmark ground truth / public material</x:v>
      </x:c>
      <x:c r="O157" s="16" t="str">
        <x:v>The cited source supports the selected label benchmark ground truth / public material under the codebook's item-level public-record alignment criterion.</x:v>
      </x:c>
      <x:c r="P157" s="16" t="str">
        <x:v>https://arxiv.org/pdf/2605.24949 | role p.1; action p.1; feedback p.1; validation p.1; evaluation p.1</x:v>
      </x:c>
      <x:c r="Q157" s="16" t="str">
        <x:v>no</x:v>
      </x:c>
      <x:c r="R157" s="11" t="str"/>
      <x:c r="S157" s="11" t="str">
        <x:v>2026-08-12</x:v>
      </x:c>
      <x:c r="T157" s="18" t="str">
        <x:f>IF(OR(AND(N157="unresolved",LEN(O157)&gt;0,LEN(P157)&gt;0,Q157="yes"),AND(LEN(N157)&gt;0,LEN(O157)&gt;0,LEN(P157)&gt;0,OR(Q157="yes",Q157="no"))),"ready","pending")</x:f>
        <x:v>ready</x:v>
      </x:c>
    </x:row>
    <x:row r="158" ht="44" customHeight="1">
      <x:c r="A158" s="10" t="str">
        <x:v>FMS0214__lifecycle</x:v>
      </x:c>
      <x:c r="B158" s="11" t="str">
        <x:v>FMS0214</x:v>
      </x:c>
      <x:c r="C158" s="11" t="str">
        <x:v>final_multisource_132</x:v>
      </x:c>
      <x:c r="D158" s="11" t="str">
        <x:v>ARACNE: An LLM-Based Autonomous Shell Pentesting Agent</x:v>
      </x:c>
      <x:c r="E158" s="11" t="str">
        <x:v>lifecycle coverage</x:v>
      </x:c>
      <x:c r="F158" s="11" t="str">
        <x:v>multi-label</x:v>
      </x:c>
      <x:c r="G158" s="11" t="str">
        <x:v>execution observation;path and input exploration;reporting and audit</x:v>
      </x:c>
      <x:c r="H158" s="11" t="str">
        <x:v>candidate analysis;execution observation;path and input exploration;reporting and audit</x:v>
      </x:c>
      <x:c r="I158" s="11" t="str">
        <x:v>source-linked lead</x:v>
      </x:c>
      <x:c r="J158" s="11" t="str">
        <x:v>https://arxiv.org/pdf/2502.18528 | role p.1; action p.1; feedback p.2; validation p.2; evaluation p.1</x:v>
      </x:c>
      <x:c r="K158" s="11" t="str">
        <x:v>accomplish the goals was less than 5. The results show that • A new modular multi-LLM architecture that sepa- the use of multi-LLM is a promising approach to increase rates planning and command execution using mul- accuracy in the actions.</x:v>
      </x:c>
      <x:c r="L158" s="16" t="str">
        <x:v>A source-linked excerpt and locator are supplied as review leads for auditability.</x:v>
      </x:c>
      <x:c r="M158" s="16" t="str">
        <x:v>Mark only observable lifecycle actions or outputs. Reporting and audit requires explicit packaging, routing, disclosure, or audit transition; a report name alone is insufficient.</x:v>
      </x:c>
      <x:c r="N158" s="16" t="str">
        <x:v>path and input exploration;execution observation;reporting and audit</x:v>
      </x:c>
      <x:c r="O158" s="16" t="str">
        <x:v>The cited source supports the selected label path and input exploration;execution observation;reporting and audit; only observable workflow actions or outputs were retained.</x:v>
      </x:c>
      <x:c r="P158" s="16" t="str">
        <x:v>https://arxiv.org/pdf/2502.18528 | role p.1; action p.1; feedback p.2; validation p.2; evaluation p.1</x:v>
      </x:c>
      <x:c r="Q158" s="16" t="str">
        <x:v>no</x:v>
      </x:c>
      <x:c r="R158" s="11" t="str"/>
      <x:c r="S158" s="11" t="str">
        <x:v>2026-08-12</x:v>
      </x:c>
      <x:c r="T158" s="18" t="str">
        <x:f>IF(OR(AND(N158="unresolved",LEN(O158)&gt;0,LEN(P158)&gt;0,Q158="yes"),AND(LEN(N158)&gt;0,LEN(O158)&gt;0,LEN(P158)&gt;0,OR(Q158="yes",Q158="no"))),"ready","pending")</x:f>
        <x:v>ready</x:v>
      </x:c>
    </x:row>
    <x:row r="159" ht="44" customHeight="1">
      <x:c r="A159" s="10" t="str">
        <x:v>FMS0214__capability</x:v>
      </x:c>
      <x:c r="B159" s="11" t="str">
        <x:v>FMS0214</x:v>
      </x:c>
      <x:c r="C159" s="11" t="str">
        <x:v>final_multisource_132</x:v>
      </x:c>
      <x:c r="D159" s="11" t="str">
        <x:v>ARACNE: An LLM-Based Autonomous Shell Pentesting Agent</x:v>
      </x:c>
      <x:c r="E159" s="11" t="str">
        <x:v>cross-stage capability</x:v>
      </x:c>
      <x:c r="F159" s="11" t="str">
        <x:v>multi-label</x:v>
      </x:c>
      <x:c r="G159" s="11" t="str">
        <x:v>failure reuse / strategy update;feedback interpretation / loop adjustment;long-horizon state management;tool routing / strategy routing</x:v>
      </x:c>
      <x:c r="H159" s="11" t="str">
        <x:v>context aggregation / rule extraction;feedback interpretation / loop adjustment;long-horizon state management;tool routing / strategy routing;validation organization / evidence packaging</x:v>
      </x:c>
      <x:c r="I159" s="11" t="str">
        <x:v>source-linked lead</x:v>
      </x:c>
      <x:c r="J159" s="11" t="str">
        <x:v>https://arxiv.org/pdf/2502.18528 | role p.1; action p.1; feedback p.2; validation p.2; evaluation p.1</x:v>
      </x:c>
      <x:c r="K159" s="11" t="str">
        <x:v>is outputted by the LLM in the that splits strategy and command generation between two JSON. Therefore, each iteration of the agent checks the distinct components, the planner and the interpreter. This attack plan, verifies if it was completed by the actions separation allows for the use of the same or different done, and decides if to stop or not. ule to consider. Since each act</x:v>
      </x:c>
      <x:c r="L159" s="16" t="str">
        <x:v>A source-linked excerpt and locator are supplied as review leads for auditability.</x:v>
      </x:c>
      <x:c r="M159" s="16" t="str">
        <x:v>Require an explicit cross-stage connection. Information must guide later action; feedback must alter later action; packaging must assemble prior outputs; governance must enforce an actual gate.</x:v>
      </x:c>
      <x:c r="N159" s="16" t="str">
        <x:v>tool routing / strategy routing;feedback interpretation / loop adjustment;long-horizon state management;failure reuse / strategy update</x:v>
      </x:c>
      <x:c r="O159" s="16" t="str">
        <x:v>The cited source supports the selected label tool routing / strategy routing;feedback interpretation / loop adjustment;long-horizon state management;failure reuse / strategy update; each retained label requires an explicit connection that guides later action, feedback, packaging, or a gate.</x:v>
      </x:c>
      <x:c r="P159" s="16" t="str">
        <x:v>https://arxiv.org/pdf/2502.18528 | role p.1; action p.1; feedback p.2; validation p.2; evaluation p.1</x:v>
      </x:c>
      <x:c r="Q159" s="16" t="str">
        <x:v>no</x:v>
      </x:c>
      <x:c r="R159" s="11" t="str"/>
      <x:c r="S159" s="11" t="str">
        <x:v>2026-08-12</x:v>
      </x:c>
      <x:c r="T159" s="18" t="str">
        <x:f>IF(OR(AND(N159="unresolved",LEN(O159)&gt;0,LEN(P159)&gt;0,Q159="yes"),AND(LEN(N159)&gt;0,LEN(O159)&gt;0,LEN(P159)&gt;0,OR(Q159="yes",Q159="no"))),"ready","pending")</x:f>
        <x:v>ready</x:v>
      </x:c>
    </x:row>
    <x:row r="160" ht="44" customHeight="1">
      <x:c r="A160" s="10" t="str">
        <x:v>FMS0226__lifecycle</x:v>
      </x:c>
      <x:c r="B160" s="11" t="str">
        <x:v>FMS0226</x:v>
      </x:c>
      <x:c r="C160" s="11" t="str">
        <x:v>final_multisource_132</x:v>
      </x:c>
      <x:c r="D160" s="11" t="str">
        <x:v>Artificial Intelligence as the New Hacker: Developing Agents for Offensive Security</x:v>
      </x:c>
      <x:c r="E160" s="11" t="str">
        <x:v>lifecycle coverage</x:v>
      </x:c>
      <x:c r="F160" s="11" t="str">
        <x:v>multi-label</x:v>
      </x:c>
      <x:c r="G160" s="11" t="str">
        <x:v>execution observation;path and input exploration;reporting and audit</x:v>
      </x:c>
      <x:c r="H160" s="11" t="str">
        <x:v>candidate analysis;execution observation;path and input exploration;reporting and audit</x:v>
      </x:c>
      <x:c r="I160" s="11" t="str">
        <x:v>source-linked lead</x:v>
      </x:c>
      <x:c r="J160" s="11" t="str">
        <x:v>https://arxiv.org/pdf/2406.07561 | role p.4; action p.4; feedback p.4; validation p.18; evaluation p.6</x:v>
      </x:c>
      <x:c r="K160" s="11" t="str">
        <x:v>an autonomous AI agent, ReaperAI, de- signed to simulate and execute cyberattacks. Leveraging the capabilities of Large Language Models (LLMs) such as GPT-4, ReaperAI demonstrates the potential to identify, exploit, and analyze security vulnerabilities autonomously. This research outlines the core methodologies that can be utilized to in</x:v>
      </x:c>
      <x:c r="L160" s="16" t="str">
        <x:v>A source-linked excerpt and locator are supplied as review leads for auditability.</x:v>
      </x:c>
      <x:c r="M160" s="16" t="str">
        <x:v>Mark only observable lifecycle actions or outputs. Reporting and audit requires explicit packaging, routing, disclosure, or audit transition; a report name alone is insufficient.</x:v>
      </x:c>
      <x:c r="N160" s="16" t="str">
        <x:v>path and input exploration;execution observation;reporting and audit</x:v>
      </x:c>
      <x:c r="O160" s="16" t="str">
        <x:v>The cited source supports the selected label path and input exploration;execution observation;reporting and audit; only observable workflow actions or outputs were retained.</x:v>
      </x:c>
      <x:c r="P160" s="16" t="str">
        <x:v>https://arxiv.org/pdf/2406.07561 | role p.4; action p.4; feedback p.4; validation p.18; evaluation p.6</x:v>
      </x:c>
      <x:c r="Q160" s="16" t="str">
        <x:v>no</x:v>
      </x:c>
      <x:c r="R160" s="11" t="str"/>
      <x:c r="S160" s="11" t="str">
        <x:v>2026-08-12</x:v>
      </x:c>
      <x:c r="T160" s="18" t="str">
        <x:f>IF(OR(AND(N160="unresolved",LEN(O160)&gt;0,LEN(P160)&gt;0,Q160="yes"),AND(LEN(N160)&gt;0,LEN(O160)&gt;0,LEN(P160)&gt;0,OR(Q160="yes",Q160="no"))),"ready","pending")</x:f>
        <x:v>ready</x:v>
      </x:c>
    </x:row>
    <x:row r="161" ht="44" customHeight="1">
      <x:c r="A161" s="10" t="str">
        <x:v>FMS0226__capability</x:v>
      </x:c>
      <x:c r="B161" s="11" t="str">
        <x:v>FMS0226</x:v>
      </x:c>
      <x:c r="C161" s="11" t="str">
        <x:v>final_multisource_132</x:v>
      </x:c>
      <x:c r="D161" s="11" t="str">
        <x:v>Artificial Intelligence as the New Hacker: Developing Agents for Offensive Security</x:v>
      </x:c>
      <x:c r="E161" s="11" t="str">
        <x:v>cross-stage capability</x:v>
      </x:c>
      <x:c r="F161" s="11" t="str">
        <x:v>multi-label</x:v>
      </x:c>
      <x:c r="G161" s="11" t="str">
        <x:v>context aggregation / rule extraction;failure reuse / strategy update;feedback interpretation / loop adjustment;governance / human gates / disclosure control;long-horizon state management;tool routing / strategy routing</x:v>
      </x:c>
      <x:c r="H161" s="11" t="str">
        <x:v>context aggregation / rule extraction;failure reuse / strategy update;feedback interpretation / loop adjustment;long-horizon state management;tool routing / strategy routing;validation organization / evidence packaging</x:v>
      </x:c>
      <x:c r="I161" s="11" t="str">
        <x:v>source-linked lead</x:v>
      </x:c>
      <x:c r="J161" s="11" t="str">
        <x:v>https://arxiv.org/pdf/2406.07561 | role p.4; action p.4; feedback p.4; validation p.18; evaluation p.6</x:v>
      </x:c>
      <x:c r="K161" s="11" t="str">
        <x:v>structured environment using Python, enhanced by Retrieval Augmented Generation (RAG) for contextual understanding and memory retention. ReaperAI was tested on platforms including, Hack The Box, where it successfully exploited known vulnerabilities, demonstrating its poten- tial power. However, the deployment of AI in offensive security presents significant eth- ical and operational challenges. The agent’s development process revealed com- plexities in command execution, erro</x:v>
      </x:c>
      <x:c r="L161" s="16" t="str">
        <x:v>A source-linked excerpt and locator are supplied as review leads for auditability.</x:v>
      </x:c>
      <x:c r="M161" s="16" t="str">
        <x:v>Require an explicit cross-stage connection. Information must guide later action; feedback must alter later action; packaging must assemble prior outputs; governance must enforce an actual gate.</x:v>
      </x:c>
      <x:c r="N161" s="16" t="str">
        <x:v>context aggregation / rule extraction;tool routing / strategy routing;feedback interpretation / loop adjustment;long-horizon state management;failure reuse / strategy update;governance / human gates / disclosure control</x:v>
      </x:c>
      <x:c r="O161" s="16" t="str">
        <x:v>The cited source supports the selected label context aggregation / rule extraction;tool routing / strategy routing;feedback interpretation / loop adjustment;long-horizon state management;failure reuse / strategy update;governance / human gates / disclosure control; each retained label requires an explicit connection that guides later action, feedback, packaging, or a gate.</x:v>
      </x:c>
      <x:c r="P161" s="16" t="str">
        <x:v>https://arxiv.org/pdf/2406.07561 | role p.4; action p.4; feedback p.4; validation p.18; evaluation p.6</x:v>
      </x:c>
      <x:c r="Q161" s="16" t="str">
        <x:v>no</x:v>
      </x:c>
      <x:c r="R161" s="11" t="str"/>
      <x:c r="S161" s="11" t="str">
        <x:v>2026-08-12</x:v>
      </x:c>
      <x:c r="T161" s="18" t="str">
        <x:f>IF(OR(AND(N161="unresolved",LEN(O161)&gt;0,LEN(P161)&gt;0,Q161="yes"),AND(LEN(N161)&gt;0,LEN(O161)&gt;0,LEN(P161)&gt;0,OR(Q161="yes",Q161="no"))),"ready","pending")</x:f>
        <x:v>ready</x:v>
      </x:c>
    </x:row>
    <x:row r="162" ht="44" customHeight="1">
      <x:c r="A162" s="10" t="str">
        <x:v>FMS0254__lifecycle</x:v>
      </x:c>
      <x:c r="B162" s="11" t="str">
        <x:v>FMS0254</x:v>
      </x:c>
      <x:c r="C162" s="11" t="str">
        <x:v>final_multisource_132</x:v>
      </x:c>
      <x:c r="D162" s="11" t="str">
        <x:v>Automated Penetration Testing with LLM Agents and Classical Planning</x:v>
      </x:c>
      <x:c r="E162" s="11" t="str">
        <x:v>lifecycle coverage</x:v>
      </x:c>
      <x:c r="F162" s="11" t="str">
        <x:v>multi-label</x:v>
      </x:c>
      <x:c r="G162" s="11" t="str">
        <x:v>execution observation;path and input exploration;reproduction and validation</x:v>
      </x:c>
      <x:c r="H162" s="11" t="str">
        <x:v>candidate analysis;execution observation;path and input exploration;reporting and audit</x:v>
      </x:c>
      <x:c r="I162" s="11" t="str">
        <x:v>source-linked lead</x:v>
      </x:c>
      <x:c r="J162" s="11" t="str">
        <x:v>https://arxiv.org/pdf/2512.11143 | role p.1; action p.1; feedback p.1; validation p.4; evaluation p.1</x:v>
      </x:c>
      <x:c r="K162" s="11" t="str">
        <x:v>Automated Penetration Testing with LLM Agents and Classical Planning Lingzhi Wang∗ , Xinyi Shi∗ , Ziyu Li∗ , Yi Jiang† , Shiyu Tan† , Yuhao</x:v>
      </x:c>
      <x:c r="L162" s="16" t="str">
        <x:v>A source-linked excerpt and locator are supplied as review leads for auditability.</x:v>
      </x:c>
      <x:c r="M162" s="16" t="str">
        <x:v>Mark only observable lifecycle actions or outputs. Reporting and audit requires explicit packaging, routing, disclosure, or audit transition; a report name alone is insufficient.</x:v>
      </x:c>
      <x:c r="N162" s="16" t="str">
        <x:v>path and input exploration;execution observation;reproduction and validation</x:v>
      </x:c>
      <x:c r="O162" s="16" t="str">
        <x:v>The cited source supports the selected label path and input exploration;execution observation;reproduction and validation; only observable workflow actions or outputs were retained.</x:v>
      </x:c>
      <x:c r="P162" s="16" t="str">
        <x:v>https://arxiv.org/pdf/2512.11143 | role p.1; action p.1; feedback p.1; validation p.4; evaluation p.1</x:v>
      </x:c>
      <x:c r="Q162" s="16" t="str">
        <x:v>no</x:v>
      </x:c>
      <x:c r="R162" s="11" t="str"/>
      <x:c r="S162" s="11" t="str">
        <x:v>2026-08-12</x:v>
      </x:c>
      <x:c r="T162" s="18" t="str">
        <x:f>IF(OR(AND(N162="unresolved",LEN(O162)&gt;0,LEN(P162)&gt;0,Q162="yes"),AND(LEN(N162)&gt;0,LEN(O162)&gt;0,LEN(P162)&gt;0,OR(Q162="yes",Q162="no"))),"ready","pending")</x:f>
        <x:v>ready</x:v>
      </x:c>
    </x:row>
    <x:row r="163" ht="44" customHeight="1">
      <x:c r="A163" s="10" t="str">
        <x:v>FMS0254__capability</x:v>
      </x:c>
      <x:c r="B163" s="11" t="str">
        <x:v>FMS0254</x:v>
      </x:c>
      <x:c r="C163" s="11" t="str">
        <x:v>final_multisource_132</x:v>
      </x:c>
      <x:c r="D163" s="11" t="str">
        <x:v>Automated Penetration Testing with LLM Agents and Classical Planning</x:v>
      </x:c>
      <x:c r="E163" s="11" t="str">
        <x:v>cross-stage capability</x:v>
      </x:c>
      <x:c r="F163" s="11" t="str">
        <x:v>multi-label</x:v>
      </x:c>
      <x:c r="G163" s="11" t="str">
        <x:v>context aggregation / rule extraction;failure reuse / strategy update;feedback interpretation / loop adjustment;long-horizon state management;tool routing / strategy routing;validation organization / evidence packaging</x:v>
      </x:c>
      <x:c r="H163" s="11" t="str">
        <x:v>context aggregation / rule extraction;feedback interpretation / loop adjustment;long-horizon state management;tool routing / strategy routing;validation organization / evidence packaging</x:v>
      </x:c>
      <x:c r="I163" s="11" t="str">
        <x:v>source-linked lead</x:v>
      </x:c>
      <x:c r="J163" s="11" t="str">
        <x:v>https://arxiv.org/pdf/2512.11143 | role p.1; action p.1; feedback p.1; validation p.4; evaluation p.1</x:v>
      </x:c>
      <x:c r="K163" s="11" t="str">
        <x:v>sical Planning Second, limited context memory and logical reasoning capa- blilties [8]–[11] make LLMs ineffective at performing long- I. I NTRODUCTION term, multi-step pentesting tasks [5]. Th</x:v>
      </x:c>
      <x:c r="L163" s="16" t="str">
        <x:v>A source-linked excerpt and locator are supplied as review leads for auditability.</x:v>
      </x:c>
      <x:c r="M163" s="16" t="str">
        <x:v>Require an explicit cross-stage connection. Information must guide later action; feedback must alter later action; packaging must assemble prior outputs; governance must enforce an actual gate.</x:v>
      </x:c>
      <x:c r="N163" s="16" t="str">
        <x:v>context aggregation / rule extraction;tool routing / strategy routing;feedback interpretation / loop adjustment;validation organization / evidence packaging;long-horizon state management;failure reuse / strategy update</x:v>
      </x:c>
      <x:c r="O163"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63" s="16" t="str">
        <x:v>https://arxiv.org/pdf/2512.11143 | role p.1; action p.1; feedback p.1; validation p.4; evaluation p.1</x:v>
      </x:c>
      <x:c r="Q163" s="16" t="str">
        <x:v>no</x:v>
      </x:c>
      <x:c r="R163" s="11" t="str"/>
      <x:c r="S163" s="11" t="str">
        <x:v>2026-08-12</x:v>
      </x:c>
      <x:c r="T163" s="18" t="str">
        <x:f>IF(OR(AND(N163="unresolved",LEN(O163)&gt;0,LEN(P163)&gt;0,Q163="yes"),AND(LEN(N163)&gt;0,LEN(O163)&gt;0,LEN(P163)&gt;0,OR(Q163="yes",Q163="no"))),"ready","pending")</x:f>
        <x:v>ready</x:v>
      </x:c>
    </x:row>
    <x:row r="164" ht="44" customHeight="1">
      <x:c r="A164" s="10" t="str">
        <x:v>FMS0257__lifecycle</x:v>
      </x:c>
      <x:c r="B164" s="11" t="str">
        <x:v>FMS0257</x:v>
      </x:c>
      <x:c r="C164" s="11" t="str">
        <x:v>final_multisource_132</x:v>
      </x:c>
      <x:c r="D164" s="11" t="str">
        <x:v>Automated Vulnerability Validation and Verification: A Large Language Model Approach</x:v>
      </x:c>
      <x:c r="E164" s="11" t="str">
        <x:v>lifecycle coverage</x:v>
      </x:c>
      <x:c r="F164" s="11" t="str">
        <x:v>multi-label</x:v>
      </x:c>
      <x:c r="G164" s="11" t="str">
        <x:v>candidate analysis;reproduction and validation</x:v>
      </x:c>
      <x:c r="H164" s="11" t="str">
        <x:v>candidate analysis;execution observation;path and input exploration;reporting and audit;reproduction and validation</x:v>
      </x:c>
      <x:c r="I164" s="11" t="str">
        <x:v>source-linked lead</x:v>
      </x:c>
      <x:c r="J164" s="11" t="str">
        <x:v>https://arxiv.org/pdf/2509.24037 | role p.1; action p.1; feedback p.1; validation p.1; evaluation p.2</x:v>
      </x:c>
      <x:c r="K164" s="11" t="str">
        <x:v>ware vulnerabilities (i.e., CVEs) reported in the National across multiple LLMs, and we open-source the artifacts to Vulnerability Database. This process entails: (1) generating enable reproducibility and accelerate security research. To the appropr</x:v>
      </x:c>
      <x:c r="L164" s="16" t="str">
        <x:v>A source-linked excerpt and locator are supplied as review leads for auditability.</x:v>
      </x:c>
      <x:c r="M164" s="16" t="str">
        <x:v>Mark only observable lifecycle actions or outputs. Reporting and audit requires explicit packaging, routing, disclosure, or audit transition; a report name alone is insufficient.</x:v>
      </x:c>
      <x:c r="N164" s="16" t="str">
        <x:v>candidate analysis;reproduction and validation</x:v>
      </x:c>
      <x:c r="O164" s="16" t="str">
        <x:v>The cited source supports the selected label candidate analysis;reproduction and validation; only observable workflow actions or outputs were retained.</x:v>
      </x:c>
      <x:c r="P164" s="16" t="str">
        <x:v>https://arxiv.org/pdf/2509.24037 | role p.1; action p.1; feedback p.1; validation p.1; evaluation p.2</x:v>
      </x:c>
      <x:c r="Q164" s="16" t="str">
        <x:v>no</x:v>
      </x:c>
      <x:c r="R164" s="11" t="str"/>
      <x:c r="S164" s="11" t="str">
        <x:v>2026-08-12</x:v>
      </x:c>
      <x:c r="T164" s="18" t="str">
        <x:f>IF(OR(AND(N164="unresolved",LEN(O164)&gt;0,LEN(P164)&gt;0,Q164="yes"),AND(LEN(N164)&gt;0,LEN(O164)&gt;0,LEN(P164)&gt;0,OR(Q164="yes",Q164="no"))),"ready","pending")</x:f>
        <x:v>ready</x:v>
      </x:c>
    </x:row>
    <x:row r="165" ht="44" customHeight="1">
      <x:c r="A165" s="10" t="str">
        <x:v>FMS0257__capability</x:v>
      </x:c>
      <x:c r="B165" s="11" t="str">
        <x:v>FMS0257</x:v>
      </x:c>
      <x:c r="C165" s="11" t="str">
        <x:v>final_multisource_132</x:v>
      </x:c>
      <x:c r="D165" s="11" t="str">
        <x:v>Automated Vulnerability Validation and Verification: A Large Language Model Approach</x:v>
      </x:c>
      <x:c r="E165" s="11" t="str">
        <x:v>cross-stage capability</x:v>
      </x:c>
      <x:c r="F165" s="11" t="str">
        <x:v>multi-label</x:v>
      </x:c>
      <x:c r="G165" s="11" t="str">
        <x:v>context aggregation / rule extraction;failure reuse / strategy update;tool routing / strategy routing;validation organization / evidence packaging</x:v>
      </x:c>
      <x:c r="H165" s="11" t="str">
        <x:v>context aggregation / rule extraction;failure reuse / strategy update;feedback interpretation / loop adjustment;validation organization / evidence packaging</x:v>
      </x:c>
      <x:c r="I165" s="11" t="str">
        <x:v>source-linked lead</x:v>
      </x:c>
      <x:c r="J165" s="11" t="str">
        <x:v>https://arxiv.org/pdf/2509.24037 | role p.1; action p.1; feedback p.1; validation p.1; evaluation p.2</x:v>
      </x:c>
      <x:c r="K165" s="11" t="str">
        <x:v>CVE disclosures in the National Vulnerability Database, aug- resource exhaustion and memory overflows). Different vul- ments it with external public knowledge (e.g., threat advisories, nerabilities require different detection and protection strate- code snippets) using Retrieval-Augmented Generation (RAG), gies [7]. However, a critical barrier to progress</x:v>
      </x:c>
      <x:c r="L165" s="16" t="str">
        <x:v>A source-linked excerpt and locator are supplied as review leads for auditability.</x:v>
      </x:c>
      <x:c r="M165" s="16" t="str">
        <x:v>Require an explicit cross-stage connection. Information must guide later action; feedback must alter later action; packaging must assemble prior outputs; governance must enforce an actual gate.</x:v>
      </x:c>
      <x:c r="N165" s="16" t="str">
        <x:v>context aggregation / rule extraction;tool routing / strategy routing;validation organization / evidence packaging;failure reuse / strategy update</x:v>
      </x:c>
      <x:c r="O165" s="16" t="str">
        <x:v>The cited source supports the selected label context aggregation / rule extraction;tool routing / strategy routing;validation organization / evidence packaging;failure reuse / strategy update; each retained label requires an explicit connection that guides later action, feedback, packaging, or a gate.</x:v>
      </x:c>
      <x:c r="P165" s="16" t="str">
        <x:v>https://arxiv.org/pdf/2509.24037 | role p.1; action p.1; feedback p.1; validation p.1; evaluation p.2</x:v>
      </x:c>
      <x:c r="Q165" s="16" t="str">
        <x:v>no</x:v>
      </x:c>
      <x:c r="R165" s="11" t="str"/>
      <x:c r="S165" s="11" t="str">
        <x:v>2026-08-12</x:v>
      </x:c>
      <x:c r="T165" s="18" t="str">
        <x:f>IF(OR(AND(N165="unresolved",LEN(O165)&gt;0,LEN(P165)&gt;0,Q165="yes"),AND(LEN(N165)&gt;0,LEN(O165)&gt;0,LEN(P165)&gt;0,OR(Q165="yes",Q165="no"))),"ready","pending")</x:f>
        <x:v>ready</x:v>
      </x:c>
    </x:row>
    <x:row r="166" ht="44" customHeight="1">
      <x:c r="A166" s="10" t="str">
        <x:v>FMS0267__lifecycle</x:v>
      </x:c>
      <x:c r="B166" s="11" t="str">
        <x:v>FMS0267</x:v>
      </x:c>
      <x:c r="C166" s="11" t="str">
        <x:v>final_multisource_132</x:v>
      </x:c>
      <x:c r="D166" s="11" t="str">
        <x:v>AutoPatch: Multi-Agent Framework for Patching Real-World CVE Vulnerabilities</x:v>
      </x:c>
      <x:c r="E166" s="11" t="str">
        <x:v>lifecycle coverage</x:v>
      </x:c>
      <x:c r="F166" s="11" t="str">
        <x:v>multi-label</x:v>
      </x:c>
      <x:c r="G166" s="11" t="str">
        <x:v>candidate analysis;patch validation</x:v>
      </x:c>
      <x:c r="H166" s="11" t="str">
        <x:v>candidate analysis;patch validation;reporting and audit</x:v>
      </x:c>
      <x:c r="I166" s="11" t="str">
        <x:v>source-linked lead</x:v>
      </x:c>
      <x:c r="J166" s="11" t="str">
        <x:v>https://arxiv.org/pdf/2505.04195 | role p.1; action p.1; feedback p.3; validation p.3; evaluation p.2</x:v>
      </x:c>
      <x:c r="K166" s="11" t="str">
        <x:v>1 AutoPatch: Multi-Agent Framework for Patching Real-World CVEs Generated by Outdated LLMs Minjae Seo∗ , Wonwoo Choi∗ ,</x:v>
      </x:c>
      <x:c r="L166" s="16" t="str">
        <x:v>A source-linked excerpt and locator are supplied as review leads for auditability.</x:v>
      </x:c>
      <x:c r="M166" s="16" t="str">
        <x:v>Mark only observable lifecycle actions or outputs. Reporting and audit requires explicit packaging, routing, disclosure, or audit transition; a report name alone is insufficient.</x:v>
      </x:c>
      <x:c r="N166" s="16" t="str">
        <x:v>candidate analysis;patch validation</x:v>
      </x:c>
      <x:c r="O166" s="16" t="str">
        <x:v>The cited source supports the selected label candidate analysis;patch validation; only observable workflow actions or outputs were retained.</x:v>
      </x:c>
      <x:c r="P166" s="16" t="str">
        <x:v>https://arxiv.org/pdf/2505.04195 | role p.1; action p.1; feedback p.3; validation p.3; evaluation p.2</x:v>
      </x:c>
      <x:c r="Q166" s="16" t="str">
        <x:v>no</x:v>
      </x:c>
      <x:c r="R166" s="11" t="str"/>
      <x:c r="S166" s="11" t="str">
        <x:v>2026-08-12</x:v>
      </x:c>
      <x:c r="T166" s="18" t="str">
        <x:f>IF(OR(AND(N166="unresolved",LEN(O166)&gt;0,LEN(P166)&gt;0,Q166="yes"),AND(LEN(N166)&gt;0,LEN(O166)&gt;0,LEN(P166)&gt;0,OR(Q166="yes",Q166="no"))),"ready","pending")</x:f>
        <x:v>ready</x:v>
      </x:c>
    </x:row>
    <x:row r="167" ht="44" customHeight="1">
      <x:c r="A167" s="10" t="str">
        <x:v>FMS0267__capability</x:v>
      </x:c>
      <x:c r="B167" s="11" t="str">
        <x:v>FMS0267</x:v>
      </x:c>
      <x:c r="C167" s="11" t="str">
        <x:v>final_multisource_132</x:v>
      </x:c>
      <x:c r="D167" s="11" t="str">
        <x:v>AutoPatch: Multi-Agent Framework for Patching Real-World CVE Vulnerabilities</x:v>
      </x:c>
      <x:c r="E167" s="11" t="str">
        <x:v>cross-stage capability</x:v>
      </x:c>
      <x:c r="F167" s="11" t="str">
        <x:v>multi-label</x:v>
      </x:c>
      <x:c r="G167" s="11" t="str">
        <x:v>context aggregation / rule extraction;failure reuse / strategy update;feedback interpretation / loop adjustment;long-horizon state management;validation organization / evidence packaging</x:v>
      </x:c>
      <x:c r="H167" s="11" t="str">
        <x:v>context aggregation / rule extraction;feedback interpretation / loop adjustment;tool routing / strategy routing;validation organization / evidence packaging</x:v>
      </x:c>
      <x:c r="I167" s="11" t="str">
        <x:v>source-linked lead</x:v>
      </x:c>
      <x:c r="J167" s="11" t="str">
        <x:v>https://arxiv.org/pdf/2505.04195 | role p.1; action p.1; feedback p.3; validation p.3; evaluation p.2</x:v>
      </x:c>
      <x:c r="K167" s="11" t="str">
        <x:v>2. Allocate zram_table_entry array; return false on failure. return false; 3. Create a memory pool using zram-&gt;disk ; free table and } return false on failure. 4. Initialize huge_class_size if unset. if (!huge_class_size) huge_class_size = zs_huge_class_size(zram-&gt;mem_pool); 5. I</x:v>
      </x:c>
      <x:c r="L167" s="16" t="str">
        <x:v>A source-linked excerpt and locator are supplied as review leads for auditability.</x:v>
      </x:c>
      <x:c r="M167" s="16" t="str">
        <x:v>Require an explicit cross-stage connection. Information must guide later action; feedback must alter later action; packaging must assemble prior outputs; governance must enforce an actual gate.</x:v>
      </x:c>
      <x:c r="N167" s="16" t="str">
        <x:v>context aggregation / rule extraction;feedback interpretation / loop adjustment;validation organization / evidence packaging;long-horizon state management;failure reuse / strategy update</x:v>
      </x:c>
      <x:c r="O167" s="16" t="str">
        <x:v>The cited source supports the selected label context aggregation / rule extraction;feedback interpretation / loop adjustment;validation organization / evidence packaging;long-horizon state management;failure reuse / strategy update; each retained label requires an explicit connection that guides later action, feedback, packaging, or a gate.</x:v>
      </x:c>
      <x:c r="P167" s="16" t="str">
        <x:v>https://arxiv.org/pdf/2505.04195 | role p.1; action p.1; feedback p.3; validation p.3; evaluation p.2</x:v>
      </x:c>
      <x:c r="Q167" s="16" t="str">
        <x:v>no</x:v>
      </x:c>
      <x:c r="R167" s="11" t="str"/>
      <x:c r="S167" s="11" t="str">
        <x:v>2026-08-12</x:v>
      </x:c>
      <x:c r="T167" s="18" t="str">
        <x:f>IF(OR(AND(N167="unresolved",LEN(O167)&gt;0,LEN(P167)&gt;0,Q167="yes"),AND(LEN(N167)&gt;0,LEN(O167)&gt;0,LEN(P167)&gt;0,OR(Q167="yes",Q167="no"))),"ready","pending")</x:f>
        <x:v>ready</x:v>
      </x:c>
    </x:row>
    <x:row r="168" ht="44" customHeight="1">
      <x:c r="A168" s="10" t="str">
        <x:v>FMS0267__principal_evidence</x:v>
      </x:c>
      <x:c r="B168" s="11" t="str">
        <x:v>FMS0267</x:v>
      </x:c>
      <x:c r="C168" s="11" t="str">
        <x:v>final_multisource_132</x:v>
      </x:c>
      <x:c r="D168" s="11" t="str">
        <x:v>AutoPatch: Multi-Agent Framework for Patching Real-World CVE Vulnerabilities</x:v>
      </x:c>
      <x:c r="E168" s="11" t="str">
        <x:v>principal reported evidence output</x:v>
      </x:c>
      <x:c r="F168" s="11" t="str">
        <x:v>single-label</x:v>
      </x:c>
      <x:c r="G168" s="11" t="str">
        <x:v>reproducible validation</x:v>
      </x:c>
      <x:c r="H168" s="11" t="str">
        <x:v>candidate judgment</x:v>
      </x:c>
      <x:c r="I168" s="11" t="str">
        <x:v>source-linked lead</x:v>
      </x:c>
      <x:c r="J168" s="11" t="str">
        <x:v>https://arxiv.org/pdf/2505.04195 | role p.1; action p.1; feedback p.3; validation p.3; evaluation p.2</x:v>
      </x:c>
      <x:c r="K168" s="11" t="str">
        <x:v>return -ENOMEM; 1. Retrieve the legacy context and initialize variables. 2. Validate the parameter format and type. if (strchr(param-&gt;key, ‘,’) || 3. Calculate the required storage space for the parameter. (param-&gt;type == fs_value_is_string &amp;&amp; 4. Check if the options’ total length exceeds the maximum size. strchr(param-&gt;string, ‘,’))) 5. Ensure p</x:v>
      </x:c>
      <x:c r="L168" s="16" t="str">
        <x:v>A source-linked excerpt and locator are supplied as review leads for auditability.</x:v>
      </x:c>
      <x:c r="M168" s="16" t="str">
        <x:v>Select the observable result most directly supporting the main finding. Benchmark ground truth or aggregate CVE counts do not automatically establish externally traceable material.</x:v>
      </x:c>
      <x:c r="N168" s="16" t="str">
        <x:v>reproducible validation</x:v>
      </x:c>
      <x:c r="O168" s="16" t="str">
        <x:v>The cited source supports the selected label reproducible validation as the main observable result reported for the study.</x:v>
      </x:c>
      <x:c r="P168" s="16" t="str">
        <x:v>https://arxiv.org/pdf/2505.04195 | role p.1; action p.1; feedback p.3; validation p.3; evaluation p.2</x:v>
      </x:c>
      <x:c r="Q168" s="16" t="str">
        <x:v>no</x:v>
      </x:c>
      <x:c r="R168" s="11" t="str"/>
      <x:c r="S168" s="11" t="str">
        <x:v>2026-08-12</x:v>
      </x:c>
      <x:c r="T168" s="18" t="str">
        <x:f>IF(OR(AND(N168="unresolved",LEN(O168)&gt;0,LEN(P168)&gt;0,Q168="yes"),AND(LEN(N168)&gt;0,LEN(O168)&gt;0,LEN(P168)&gt;0,OR(Q168="yes",Q168="no"))),"ready","pending")</x:f>
        <x:v>ready</x:v>
      </x:c>
    </x:row>
    <x:row r="169" ht="44" customHeight="1">
      <x:c r="A169" s="10" t="str">
        <x:v>FMS0269__lifecycle</x:v>
      </x:c>
      <x:c r="B169" s="11" t="str">
        <x:v>FMS0269</x:v>
      </x:c>
      <x:c r="C169" s="11" t="str">
        <x:v>final_multisource_132</x:v>
      </x:c>
      <x:c r="D169" s="11" t="str">
        <x:v>AutoPenBench: Benchmarking Generative Agents for Penetration Testing</x:v>
      </x:c>
      <x:c r="E169" s="11" t="str">
        <x:v>lifecycle coverage</x:v>
      </x:c>
      <x:c r="F169" s="11" t="str">
        <x:v>multi-label</x:v>
      </x:c>
      <x:c r="G169" s="11" t="str">
        <x:v>execution observation;path and input exploration;reporting and audit</x:v>
      </x:c>
      <x:c r="H169" s="11" t="str">
        <x:v>candidate analysis;execution observation;path and input exploration;reporting and audit</x:v>
      </x:c>
      <x:c r="I169" s="11" t="str">
        <x:v>source-linked lead</x:v>
      </x:c>
      <x:c r="J169" s="11" t="str">
        <x:v>https://arxiv.org/pdf/2410.03225 | role p.2; action p.1; feedback p.2; validation p.1; evaluation p.1</x:v>
      </x:c>
      <x:c r="K169" s="11" t="str">
        <x:v>nessed the rise of AI-based Generative Agents [8]. These are software systems that leverage foundation models and Large Language Models (LLMs) to create solutions across diverse contexts [9, 10]. These agents are capable of performing complex tasks involving decision-making and multi-step planning. Building upon this advancement, a new and growing approach has emerged: the use of autonomous generative agents to</x:v>
      </x:c>
      <x:c r="L169" s="16" t="str">
        <x:v>A source-linked excerpt and locator are supplied as review leads for auditability.</x:v>
      </x:c>
      <x:c r="M169" s="16" t="str">
        <x:v>Mark only observable lifecycle actions or outputs. Reporting and audit requires explicit packaging, routing, disclosure, or audit transition; a report name alone is insufficient.</x:v>
      </x:c>
      <x:c r="N169" s="16" t="str">
        <x:v>path and input exploration;execution observation;reporting and audit</x:v>
      </x:c>
      <x:c r="O169" s="16" t="str">
        <x:v>The cited source supports the selected label path and input exploration;execution observation;reporting and audit; only observable workflow actions or outputs were retained.</x:v>
      </x:c>
      <x:c r="P169" s="16" t="str">
        <x:v>https://arxiv.org/pdf/2410.03225 | role p.2; action p.1; feedback p.2; validation p.1; evaluation p.1</x:v>
      </x:c>
      <x:c r="Q169" s="16" t="str">
        <x:v>no</x:v>
      </x:c>
      <x:c r="R169" s="11" t="str"/>
      <x:c r="S169" s="11" t="str">
        <x:v>2026-08-12</x:v>
      </x:c>
      <x:c r="T169" s="18" t="str">
        <x:f>IF(OR(AND(N169="unresolved",LEN(O169)&gt;0,LEN(P169)&gt;0,Q169="yes"),AND(LEN(N169)&gt;0,LEN(O169)&gt;0,LEN(P169)&gt;0,OR(Q169="yes",Q169="no"))),"ready","pending")</x:f>
        <x:v>ready</x:v>
      </x:c>
    </x:row>
    <x:row r="170" ht="44" customHeight="1">
      <x:c r="A170" s="10" t="str">
        <x:v>FMS0269__capability</x:v>
      </x:c>
      <x:c r="B170" s="11" t="str">
        <x:v>FMS0269</x:v>
      </x:c>
      <x:c r="C170" s="11" t="str">
        <x:v>final_multisource_132</x:v>
      </x:c>
      <x:c r="D170" s="11" t="str">
        <x:v>AutoPenBench: Benchmarking Generative Agents for Penetration Testing</x:v>
      </x:c>
      <x:c r="E170" s="11" t="str">
        <x:v>cross-stage capability</x:v>
      </x:c>
      <x:c r="F170" s="11" t="str">
        <x:v>multi-label</x:v>
      </x:c>
      <x:c r="G170" s="11" t="str">
        <x:v>feedback interpretation / loop adjustment;long-horizon state management;tool routing / strategy routing</x:v>
      </x:c>
      <x:c r="H170" s="11" t="str">
        <x:v>context aggregation / rule extraction;failure reuse / strategy update;feedback interpretation / loop adjustment;long-horizon state management;tool routing / strategy routing;validation organization / evidence packaging</x:v>
      </x:c>
      <x:c r="I170" s="11" t="str">
        <x:v>source-linked lead</x:v>
      </x:c>
      <x:c r="J170" s="11" t="str">
        <x:v>https://arxiv.org/pdf/2410.03225 | role p.2; action p.1; feedback p.2; validation p.1; evaluation p.1</x:v>
      </x:c>
      <x:c r="K170" s="11" t="str">
        <x:v>14 tasks, but the lack of open-source code mines reproducibility. Additionally, they provide the agent with a long-term memory to store and retrieve its experience across the execution of each task. This introduces a dependency between various tasks that could potentially affect the final evaluation. Such an approach, while innovative, raises questions about the validity of results in isolated test scenarios. Despite the growing interest in this field, there remains a notable absen</x:v>
      </x:c>
      <x:c r="L170" s="16" t="str">
        <x:v>A source-linked excerpt and locator are supplied as review leads for auditability.</x:v>
      </x:c>
      <x:c r="M170" s="16" t="str">
        <x:v>Require an explicit cross-stage connection. Information must guide later action; feedback must alter later action; packaging must assemble prior outputs; governance must enforce an actual gate.</x:v>
      </x:c>
      <x:c r="N170" s="16" t="str">
        <x:v>tool routing / strategy routing;feedback interpretation / loop adjustment;long-horizon state management</x:v>
      </x:c>
      <x:c r="O170" s="16" t="str">
        <x:v>The cited source supports the selected label tool routing / strategy routing;feedback interpretation / loop adjustment;long-horizon state management; each retained label requires an explicit connection that guides later action, feedback, packaging, or a gate.</x:v>
      </x:c>
      <x:c r="P170" s="16" t="str">
        <x:v>https://arxiv.org/pdf/2410.03225 | role p.2; action p.1; feedback p.2; validation p.1; evaluation p.1</x:v>
      </x:c>
      <x:c r="Q170" s="16" t="str">
        <x:v>no</x:v>
      </x:c>
      <x:c r="R170" s="11" t="str"/>
      <x:c r="S170" s="11" t="str">
        <x:v>2026-08-12</x:v>
      </x:c>
      <x:c r="T170" s="18" t="str">
        <x:f>IF(OR(AND(N170="unresolved",LEN(O170)&gt;0,LEN(P170)&gt;0,Q170="yes"),AND(LEN(N170)&gt;0,LEN(O170)&gt;0,LEN(P170)&gt;0,OR(Q170="yes",Q170="no"))),"ready","pending")</x:f>
        <x:v>ready</x:v>
      </x:c>
    </x:row>
    <x:row r="171" ht="44" customHeight="1">
      <x:c r="A171" s="10" t="str">
        <x:v>FMS0270__lifecycle</x:v>
      </x:c>
      <x:c r="B171" s="11" t="str">
        <x:v>FMS0270</x:v>
      </x:c>
      <x:c r="C171" s="11" t="str">
        <x:v>final_multisource_132</x:v>
      </x:c>
      <x:c r="D171" s="11" t="str">
        <x:v>AutoPentest: Enhancing Vulnerability Management With Autonomous LLM Agents</x:v>
      </x:c>
      <x:c r="E171" s="11" t="str">
        <x:v>lifecycle coverage</x:v>
      </x:c>
      <x:c r="F171" s="11" t="str">
        <x:v>multi-label</x:v>
      </x:c>
      <x:c r="G171" s="11" t="str">
        <x:v>execution observation;path and input exploration;reporting and audit</x:v>
      </x:c>
      <x:c r="H171" s="11" t="str">
        <x:v>candidate analysis;execution observation;path and input exploration;reporting and audit</x:v>
      </x:c>
      <x:c r="I171" s="11" t="str">
        <x:v>source-linked lead</x:v>
      </x:c>
      <x:c r="J171" s="11" t="str">
        <x:v>https://arxiv.org/pdf/2505.10321 | role p.2; action p.1; feedback p.7; validation p.6; evaluation p.1</x:v>
      </x:c>
      <x:c r="K171" s="11" t="str">
        <x:v>Outline 4o with the LLM agent framework LangChain3 . A This paper will begin by introducing relevant LLM agent framework allows us to automatically theory on penetration testing, security standards and plan subtasks for a larger goal, efficiently store LLMs in section II. Section III presents related current prog</x:v>
      </x:c>
      <x:c r="L171" s="16" t="str">
        <x:v>A source-linked excerpt and locator are supplied as review leads for auditability.</x:v>
      </x:c>
      <x:c r="M171" s="16" t="str">
        <x:v>Mark only observable lifecycle actions or outputs. Reporting and audit requires explicit packaging, routing, disclosure, or audit transition; a report name alone is insufficient.</x:v>
      </x:c>
      <x:c r="N171" s="16" t="str">
        <x:v>path and input exploration;execution observation;reporting and audit</x:v>
      </x:c>
      <x:c r="O171" s="16" t="str">
        <x:v>The cited source supports the selected label path and input exploration;execution observation;reporting and audit; only observable workflow actions or outputs were retained.</x:v>
      </x:c>
      <x:c r="P171" s="16" t="str">
        <x:v>https://arxiv.org/pdf/2505.10321 | role p.2; action p.1; feedback p.7; validation p.6; evaluation p.1</x:v>
      </x:c>
      <x:c r="Q171" s="16" t="str">
        <x:v>no</x:v>
      </x:c>
      <x:c r="R171" s="11" t="str"/>
      <x:c r="S171" s="11" t="str">
        <x:v>2026-08-12</x:v>
      </x:c>
      <x:c r="T171" s="18" t="str">
        <x:f>IF(OR(AND(N171="unresolved",LEN(O171)&gt;0,LEN(P171)&gt;0,Q171="yes"),AND(LEN(N171)&gt;0,LEN(O171)&gt;0,LEN(P171)&gt;0,OR(Q171="yes",Q171="no"))),"ready","pending")</x:f>
        <x:v>ready</x:v>
      </x:c>
    </x:row>
    <x:row r="172" ht="44" customHeight="1">
      <x:c r="A172" s="10" t="str">
        <x:v>FMS0270__capability</x:v>
      </x:c>
      <x:c r="B172" s="11" t="str">
        <x:v>FMS0270</x:v>
      </x:c>
      <x:c r="C172" s="11" t="str">
        <x:v>final_multisource_132</x:v>
      </x:c>
      <x:c r="D172" s="11" t="str">
        <x:v>AutoPentest: Enhancing Vulnerability Management With Autonomous LLM Agents</x:v>
      </x:c>
      <x:c r="E172" s="11" t="str">
        <x:v>cross-stage capability</x:v>
      </x:c>
      <x:c r="F172" s="11" t="str">
        <x:v>multi-label</x:v>
      </x:c>
      <x:c r="G172" s="11" t="str">
        <x:v>failure reuse / strategy update;feedback interpretation / loop adjustment;long-horizon state management;tool routing / strategy routing</x:v>
      </x:c>
      <x:c r="H172" s="11" t="str">
        <x:v>context aggregation / rule extraction;failure reuse / strategy update;feedback interpretation / loop adjustment;governance / human gates / disclosure control;long-horizon state management;tool routing / strategy routing;validation organization / evidence packaging</x:v>
      </x:c>
      <x:c r="I172" s="11" t="str">
        <x:v>source-linked lead</x:v>
      </x:c>
      <x:c r="J172" s="11" t="str">
        <x:v>https://arxiv.org/pdf/2505.10321 | role p.2; action p.1; feedback p.7; validation p.6; evaluation p.1</x:v>
      </x:c>
      <x:c r="K172" s="11" t="str">
        <x:v>essful Wintermute, which queries a LLM for next com- exploitation for 6 out of 10 services. mands and state updates, as part of their larger Alshehri et al. [5] used the LLM Claude 3.5 framework hackingBuddyGPT15 . In their evaluation, Sonnet16 to successfully exploit a Metasploitable 2 they compared the LLMs GPT-3.5-Turbo, GPT-4 machine with appropriately 150,000 LLM tokens. and two open-source fine-tuned variants of L</x:v>
      </x:c>
      <x:c r="L172" s="16" t="str">
        <x:v>A source-linked excerpt and locator are supplied as review leads for auditability.</x:v>
      </x:c>
      <x:c r="M172" s="16" t="str">
        <x:v>Require an explicit cross-stage connection. Information must guide later action; feedback must alter later action; packaging must assemble prior outputs; governance must enforce an actual gate.</x:v>
      </x:c>
      <x:c r="N172" s="16" t="str">
        <x:v>tool routing / strategy routing;feedback interpretation / loop adjustment;long-horizon state management;failure reuse / strategy update</x:v>
      </x:c>
      <x:c r="O172" s="16" t="str">
        <x:v>The cited source supports the selected label tool routing / strategy routing;feedback interpretation / loop adjustment;long-horizon state management;failure reuse / strategy update; each retained label requires an explicit connection that guides later action, feedback, packaging, or a gate.</x:v>
      </x:c>
      <x:c r="P172" s="16" t="str">
        <x:v>https://arxiv.org/pdf/2505.10321 | role p.2; action p.1; feedback p.7; validation p.6; evaluation p.1</x:v>
      </x:c>
      <x:c r="Q172" s="16" t="str">
        <x:v>no</x:v>
      </x:c>
      <x:c r="R172" s="11" t="str"/>
      <x:c r="S172" s="11" t="str">
        <x:v>2026-08-12</x:v>
      </x:c>
      <x:c r="T172" s="18" t="str">
        <x:f>IF(OR(AND(N172="unresolved",LEN(O172)&gt;0,LEN(P172)&gt;0,Q172="yes"),AND(LEN(N172)&gt;0,LEN(O172)&gt;0,LEN(P172)&gt;0,OR(Q172="yes",Q172="no"))),"ready","pending")</x:f>
        <x:v>ready</x:v>
      </x:c>
    </x:row>
    <x:row r="173" ht="44" customHeight="1">
      <x:c r="A173" s="10" t="str">
        <x:v>FMS0271__lifecycle</x:v>
      </x:c>
      <x:c r="B173" s="11" t="str">
        <x:v>FMS0271</x:v>
      </x:c>
      <x:c r="C173" s="11" t="str">
        <x:v>final_multisource_132</x:v>
      </x:c>
      <x:c r="D173" s="11" t="str">
        <x:v>AutoPentester: An LLM Agent-based Framework for Automated Pentesting</x:v>
      </x:c>
      <x:c r="E173" s="11" t="str">
        <x:v>lifecycle coverage</x:v>
      </x:c>
      <x:c r="F173" s="11" t="str">
        <x:v>multi-label</x:v>
      </x:c>
      <x:c r="G173" s="11" t="str">
        <x:v>execution observation;path and input exploration;reporting and audit;reproduction and validation</x:v>
      </x:c>
      <x:c r="H173" s="11" t="str">
        <x:v>candidate analysis;execution observation;path and input exploration;reporting and audit</x:v>
      </x:c>
      <x:c r="I173" s="11" t="str">
        <x:v>source-linked lead</x:v>
      </x:c>
      <x:c r="J173" s="11" t="str">
        <x:v>https://arxiv.org/pdf/2510.05605 | role p.2; action p.1; feedback p.1; validation p.2; evaluation p.1</x:v>
      </x:c>
      <x:c r="K173" s="11" t="str">
        <x:v>Log Files Final Report Fig. 1. AutoPentester Framework (LLM icons indicate separate API sessions with an LLM). based Generator - ensures the creation of advance, accurate improves subtask completion by 20.0%, the</x:v>
      </x:c>
      <x:c r="L173" s="16" t="str">
        <x:v>A source-linked excerpt and locator are supplied as review leads for auditability.</x:v>
      </x:c>
      <x:c r="M173" s="16" t="str">
        <x:v>Mark only observable lifecycle actions or outputs. Reporting and audit requires explicit packaging, routing, disclosure, or audit transition; a report name alone is insufficient.</x:v>
      </x:c>
      <x:c r="N173" s="16" t="str">
        <x:v>path and input exploration;execution observation;reproduction and validation;reporting and audit</x:v>
      </x:c>
      <x:c r="O173" s="16" t="str">
        <x:v>The cited source supports the selected label path and input exploration;execution observation;reproduction and validation;reporting and audit; only observable workflow actions or outputs were retained.</x:v>
      </x:c>
      <x:c r="P173" s="16" t="str">
        <x:v>https://arxiv.org/pdf/2510.05605 | role p.2; action p.1; feedback p.1; validation p.2; evaluation p.1</x:v>
      </x:c>
      <x:c r="Q173" s="16" t="str">
        <x:v>no</x:v>
      </x:c>
      <x:c r="R173" s="11" t="str"/>
      <x:c r="S173" s="11" t="str">
        <x:v>2026-08-12</x:v>
      </x:c>
      <x:c r="T173" s="18" t="str">
        <x:f>IF(OR(AND(N173="unresolved",LEN(O173)&gt;0,LEN(P173)&gt;0,Q173="yes"),AND(LEN(N173)&gt;0,LEN(O173)&gt;0,LEN(P173)&gt;0,OR(Q173="yes",Q173="no"))),"ready","pending")</x:f>
        <x:v>ready</x:v>
      </x:c>
    </x:row>
    <x:row r="174" ht="44" customHeight="1">
      <x:c r="A174" s="10" t="str">
        <x:v>FMS0271__capability</x:v>
      </x:c>
      <x:c r="B174" s="11" t="str">
        <x:v>FMS0271</x:v>
      </x:c>
      <x:c r="C174" s="11" t="str">
        <x:v>final_multisource_132</x:v>
      </x:c>
      <x:c r="D174" s="11" t="str">
        <x:v>AutoPentester: An LLM Agent-based Framework for Automated Pentesting</x:v>
      </x:c>
      <x:c r="E174" s="11" t="str">
        <x:v>cross-stage capability</x:v>
      </x:c>
      <x:c r="F174" s="11" t="str">
        <x:v>multi-label</x:v>
      </x:c>
      <x:c r="G174" s="11" t="str">
        <x:v>context aggregation / rule extraction;failure reuse / strategy update;feedback interpretation / loop adjustment;long-horizon state management;tool routing / strategy routing;validation organization / evidence packaging</x:v>
      </x:c>
      <x:c r="H174" s="11" t="str">
        <x:v>context aggregation / rule extraction;failure reuse / strategy update;feedback interpretation / loop adjustment;governance / human gates / disclosure control;long-horizon state management;tool routing / strategy routing;validation organization / evidence packaging</x:v>
      </x:c>
      <x:c r="I174" s="11" t="str">
        <x:v>source-linked lead</x:v>
      </x:c>
      <x:c r="J174" s="11" t="str">
        <x:v>https://arxiv.org/pdf/2510.05605 | role p.2; action p.1; feedback p.1; validation p.2; evaluation p.1</x:v>
      </x:c>
      <x:c r="K174" s="11" t="str">
        <x:v>ficant manual effort and expertise [7]. generate attack strategies based on the tool outputs from the While the duration varies by task, a typical penetration test previous iteration, mimicking the human pentester approach. We can take over two weeks—a considerable timeframe given the evaluate AutoPentester using Hack The Box and custom-made</x:v>
      </x:c>
      <x:c r="L174" s="16" t="str">
        <x:v>A source-linked excerpt and locator are supplied as review leads for auditability.</x:v>
      </x:c>
      <x:c r="M174" s="16" t="str">
        <x:v>Require an explicit cross-stage connection. Information must guide later action; feedback must alter later action; packaging must assemble prior outputs; governance must enforce an actual gate.</x:v>
      </x:c>
      <x:c r="N174" s="16" t="str">
        <x:v>context aggregation / rule extraction;tool routing / strategy routing;feedback interpretation / loop adjustment;validation organization / evidence packaging;long-horizon state management;failure reuse / strategy update</x:v>
      </x:c>
      <x:c r="O174"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74" s="16" t="str">
        <x:v>https://arxiv.org/pdf/2510.05605 | role p.2; action p.1; feedback p.1; validation p.2; evaluation p.1</x:v>
      </x:c>
      <x:c r="Q174" s="16" t="str">
        <x:v>no</x:v>
      </x:c>
      <x:c r="R174" s="11" t="str"/>
      <x:c r="S174" s="11" t="str">
        <x:v>2026-08-12</x:v>
      </x:c>
      <x:c r="T174" s="18" t="str">
        <x:f>IF(OR(AND(N174="unresolved",LEN(O174)&gt;0,LEN(P174)&gt;0,Q174="yes"),AND(LEN(N174)&gt;0,LEN(O174)&gt;0,LEN(P174)&gt;0,OR(Q174="yes",Q174="no"))),"ready","pending")</x:f>
        <x:v>ready</x:v>
      </x:c>
    </x:row>
    <x:row r="175" ht="44" customHeight="1">
      <x:c r="A175" s="10" t="str">
        <x:v>FMS0272__lifecycle</x:v>
      </x:c>
      <x:c r="B175" s="11" t="str">
        <x:v>FMS0272</x:v>
      </x:c>
      <x:c r="C175" s="11" t="str">
        <x:v>final_multisource_132</x:v>
      </x:c>
      <x:c r="D175" s="11" t="str">
        <x:v>AutoPT: How Far Are We from the End2End Automated Web Penetration Testing?</x:v>
      </x:c>
      <x:c r="E175" s="11" t="str">
        <x:v>lifecycle coverage</x:v>
      </x:c>
      <x:c r="F175" s="11" t="str">
        <x:v>multi-label</x:v>
      </x:c>
      <x:c r="G175" s="11" t="str">
        <x:v>candidate analysis;execution observation;path and input exploration;reporting and audit;reproduction and validation</x:v>
      </x:c>
      <x:c r="H175" s="11" t="str">
        <x:v>candidate analysis;execution observation;path and input exploration;reporting and audit</x:v>
      </x:c>
      <x:c r="I175" s="11" t="str">
        <x:v>source-linked lead</x:v>
      </x:c>
      <x:c r="J175" s="11" t="str">
        <x:v>https://arxiv.org/pdf/2411.01236 | role p.1; action p.1; feedback p.2; validation p.3; evaluation p.1</x:v>
      </x:c>
      <x:c r="K175" s="11" t="str">
        <x:v>the capabilities of LLM-based agents in this domain. Our results reveal that the agents are familiar with the framework of penetration testing tasks, but they still face limitations in generating accurate commands and executing complete processes. Accordingly, we summariz</x:v>
      </x:c>
      <x:c r="L175" s="16" t="str">
        <x:v>A source-linked excerpt and locator are supplied as review leads for auditability.</x:v>
      </x:c>
      <x:c r="M175" s="16" t="str">
        <x:v>Mark only observable lifecycle actions or outputs. Reporting and audit requires explicit packaging, routing, disclosure, or audit transition; a report name alone is insufficient.</x:v>
      </x:c>
      <x:c r="N175" s="16" t="str">
        <x:v>candidate analysis;path and input exploration;execution observation;reproduction and validation;reporting and audit</x:v>
      </x:c>
      <x:c r="O175" s="16" t="str">
        <x:v>The cited source supports the selected label candidate analysis;path and input exploration;execution observation;reproduction and validation;reporting and audit; only observable workflow actions or outputs were retained.</x:v>
      </x:c>
      <x:c r="P175" s="16" t="str">
        <x:v>https://arxiv.org/pdf/2411.01236 | role p.1; action p.1; feedback p.2; validation p.3; evaluation p.1</x:v>
      </x:c>
      <x:c r="Q175" s="16" t="str">
        <x:v>no</x:v>
      </x:c>
      <x:c r="R175" s="11" t="str"/>
      <x:c r="S175" s="11" t="str">
        <x:v>2026-08-12</x:v>
      </x:c>
      <x:c r="T175" s="18" t="str">
        <x:f>IF(OR(AND(N175="unresolved",LEN(O175)&gt;0,LEN(P175)&gt;0,Q175="yes"),AND(LEN(N175)&gt;0,LEN(O175)&gt;0,LEN(P175)&gt;0,OR(Q175="yes",Q175="no"))),"ready","pending")</x:f>
        <x:v>ready</x:v>
      </x:c>
    </x:row>
    <x:row r="176" ht="44" customHeight="1">
      <x:c r="A176" s="10" t="str">
        <x:v>FMS0272__capability</x:v>
      </x:c>
      <x:c r="B176" s="11" t="str">
        <x:v>FMS0272</x:v>
      </x:c>
      <x:c r="C176" s="11" t="str">
        <x:v>final_multisource_132</x:v>
      </x:c>
      <x:c r="D176" s="11" t="str">
        <x:v>AutoPT: How Far Are We from the End2End Automated Web Penetration Testing?</x:v>
      </x:c>
      <x:c r="E176" s="11" t="str">
        <x:v>cross-stage capability</x:v>
      </x:c>
      <x:c r="F176" s="11" t="str">
        <x:v>multi-label</x:v>
      </x:c>
      <x:c r="G176" s="11" t="str">
        <x:v>context aggregation / rule extraction;failure reuse / strategy update;feedback interpretation / loop adjustment;long-horizon state management;tool routing / strategy routing;validation organization / evidence packaging</x:v>
      </x:c>
      <x:c r="H176" s="11" t="str">
        <x:v>context aggregation / rule extraction;feedback interpretation / loop adjustment;long-horizon state management;tool routing / strategy routing;validation organization / evidence packaging</x:v>
      </x:c>
      <x:c r="I176" s="11" t="str">
        <x:v>source-linked lead</x:v>
      </x:c>
      <x:c r="J176" s="11" t="str">
        <x:v>https://arxiv.org/pdf/2411.01236 | role p.1; action p.1; feedback p.2; validation p.3; evaluation p.1</x:v>
      </x:c>
      <x:c r="K176" s="11" t="str">
        <x:v>been applied to tasks that require interaction with the environment through agents [36, 40, 62], such as code execution feedback and real-world scene interaction. Despite the significant efforts of tens of thousands of penetration testing researchers worldwide, fully automated penetration testing has remained challenging for an extended period [2, 62]. Recently, several studies have aimed at helping humans perform penetration testing, such as PentestGPT [13]. Nevertheless, they neces</x:v>
      </x:c>
      <x:c r="L176" s="16" t="str">
        <x:v>A source-linked excerpt and locator are supplied as review leads for auditability.</x:v>
      </x:c>
      <x:c r="M176" s="16" t="str">
        <x:v>Require an explicit cross-stage connection. Information must guide later action; feedback must alter later action; packaging must assemble prior outputs; governance must enforce an actual gate.</x:v>
      </x:c>
      <x:c r="N176" s="16" t="str">
        <x:v>context aggregation / rule extraction;tool routing / strategy routing;feedback interpretation / loop adjustment;validation organization / evidence packaging;long-horizon state management;failure reuse / strategy update</x:v>
      </x:c>
      <x:c r="O176"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76" s="16" t="str">
        <x:v>https://arxiv.org/pdf/2411.01236 | role p.1; action p.1; feedback p.2; validation p.3; evaluation p.1</x:v>
      </x:c>
      <x:c r="Q176" s="16" t="str">
        <x:v>no</x:v>
      </x:c>
      <x:c r="R176" s="11" t="str"/>
      <x:c r="S176" s="11" t="str">
        <x:v>2026-08-12</x:v>
      </x:c>
      <x:c r="T176" s="18" t="str">
        <x:f>IF(OR(AND(N176="unresolved",LEN(O176)&gt;0,LEN(P176)&gt;0,Q176="yes"),AND(LEN(N176)&gt;0,LEN(O176)&gt;0,LEN(P176)&gt;0,OR(Q176="yes",Q176="no"))),"ready","pending")</x:f>
        <x:v>ready</x:v>
      </x:c>
    </x:row>
    <x:row r="177" ht="44" customHeight="1">
      <x:c r="A177" s="10" t="str">
        <x:v>FMS0281__lifecycle</x:v>
      </x:c>
      <x:c r="B177" s="11" t="str">
        <x:v>FMS0281</x:v>
      </x:c>
      <x:c r="C177" s="11" t="str">
        <x:v>final_multisource_132</x:v>
      </x:c>
      <x:c r="D177" s="11" t="str">
        <x:v>AWE: Adaptive Agents for Dynamic Web Penetration Testing</x:v>
      </x:c>
      <x:c r="E177" s="11" t="str">
        <x:v>lifecycle coverage</x:v>
      </x:c>
      <x:c r="F177" s="11" t="str">
        <x:v>multi-label</x:v>
      </x:c>
      <x:c r="G177" s="11" t="str">
        <x:v>candidate analysis;execution observation;path and input exploration;reproduction and validation</x:v>
      </x:c>
      <x:c r="H177" s="11" t="str">
        <x:v>candidate analysis;execution observation;path and input exploration;reporting and audit</x:v>
      </x:c>
      <x:c r="I177" s="11" t="str">
        <x:v>source-linked lead</x:v>
      </x:c>
      <x:c r="J177" s="11" t="str">
        <x:v>https://arxiv.org/pdf/2603.00960 | role p.2; action p.1; feedback p.1; validation p.1; evaluation p.1</x:v>
      </x:c>
      <x:c r="K177" s="11" t="str">
        <x:v>els. popular automated method for identifying security flaws in • LLM-assisted input generation. The attacker employs modern web applications. Commercial systems such as Burp commercial LLM AP</x:v>
      </x:c>
      <x:c r="L177" s="16" t="str">
        <x:v>A source-linked excerpt and locator are supplied as review leads for auditability.</x:v>
      </x:c>
      <x:c r="M177" s="16" t="str">
        <x:v>Mark only observable lifecycle actions or outputs. Reporting and audit requires explicit packaging, routing, disclosure, or audit transition; a report name alone is insufficient.</x:v>
      </x:c>
      <x:c r="N177" s="16" t="str">
        <x:v>candidate analysis;path and input exploration;execution observation;reproduction and validation</x:v>
      </x:c>
      <x:c r="O177" s="16" t="str">
        <x:v>The cited source supports the selected label candidate analysis;path and input exploration;execution observation;reproduction and validation; only observable workflow actions or outputs were retained.</x:v>
      </x:c>
      <x:c r="P177" s="16" t="str">
        <x:v>https://arxiv.org/pdf/2603.00960 | role p.2; action p.1; feedback p.1; validation p.1; evaluation p.1</x:v>
      </x:c>
      <x:c r="Q177" s="16" t="str">
        <x:v>no</x:v>
      </x:c>
      <x:c r="R177" s="11" t="str"/>
      <x:c r="S177" s="11" t="str">
        <x:v>2026-08-12</x:v>
      </x:c>
      <x:c r="T177" s="18" t="str">
        <x:f>IF(OR(AND(N177="unresolved",LEN(O177)&gt;0,LEN(P177)&gt;0,Q177="yes"),AND(LEN(N177)&gt;0,LEN(O177)&gt;0,LEN(P177)&gt;0,OR(Q177="yes",Q177="no"))),"ready","pending")</x:f>
        <x:v>ready</x:v>
      </x:c>
    </x:row>
    <x:row r="178" ht="44" customHeight="1">
      <x:c r="A178" s="10" t="str">
        <x:v>FMS0281__capability</x:v>
      </x:c>
      <x:c r="B178" s="11" t="str">
        <x:v>FMS0281</x:v>
      </x:c>
      <x:c r="C178" s="11" t="str">
        <x:v>final_multisource_132</x:v>
      </x:c>
      <x:c r="D178" s="11" t="str">
        <x:v>AWE: Adaptive Agents for Dynamic Web Penetration Testing</x:v>
      </x:c>
      <x:c r="E178" s="11" t="str">
        <x:v>cross-stage capability</x:v>
      </x:c>
      <x:c r="F178" s="11" t="str">
        <x:v>multi-label</x:v>
      </x:c>
      <x:c r="G178" s="11" t="str">
        <x:v>context aggregation / rule extraction;failure reuse / strategy update;feedback interpretation / loop adjustment;long-horizon state management;tool routing / strategy routing;validation organization / evidence packaging</x:v>
      </x:c>
      <x:c r="H178" s="11" t="str">
        <x:v>context aggregation / rule extraction;feedback interpretation / loop adjustment;long-horizon state management;tool routing / strategy routing;validation organization / evidence packaging</x:v>
      </x:c>
      <x:c r="I178" s="11" t="str">
        <x:v>source-linked lead</x:v>
      </x:c>
      <x:c r="J178" s="11" t="str">
        <x:v>https://arxiv.org/pdf/2603.00960 | role p.2; action p.1; feedback p.1; validation p.1; evaluation p.1</x:v>
      </x:c>
      <x:c r="K178" s="11" t="str">
        <x:v>oing advancements in secure development practices, these We introduce AWE, a memory-augmented multi-agent frame- vulnerability classes remain persistent. The widening gap work for autonomous web penetration testing that embeds structured, vulnerability-specific analysis pipelines within a between accelerated development and static defensiv</x:v>
      </x:c>
      <x:c r="L178" s="16" t="str">
        <x:v>A source-linked excerpt and locator are supplied as review leads for auditability.</x:v>
      </x:c>
      <x:c r="M178" s="16" t="str">
        <x:v>Require an explicit cross-stage connection. Information must guide later action; feedback must alter later action; packaging must assemble prior outputs; governance must enforce an actual gate.</x:v>
      </x:c>
      <x:c r="N178" s="16" t="str">
        <x:v>context aggregation / rule extraction;tool routing / strategy routing;feedback interpretation / loop adjustment;validation organization / evidence packaging;long-horizon state management;failure reuse / strategy update</x:v>
      </x:c>
      <x:c r="O178"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78" s="16" t="str">
        <x:v>https://arxiv.org/pdf/2603.00960 | role p.2; action p.1; feedback p.1; validation p.1; evaluation p.1</x:v>
      </x:c>
      <x:c r="Q178" s="16" t="str">
        <x:v>no</x:v>
      </x:c>
      <x:c r="R178" s="11" t="str"/>
      <x:c r="S178" s="11" t="str">
        <x:v>2026-08-12</x:v>
      </x:c>
      <x:c r="T178" s="18" t="str">
        <x:f>IF(OR(AND(N178="unresolved",LEN(O178)&gt;0,LEN(P178)&gt;0,Q178="yes"),AND(LEN(N178)&gt;0,LEN(O178)&gt;0,LEN(P178)&gt;0,OR(Q178="yes",Q178="no"))),"ready","pending")</x:f>
        <x:v>ready</x:v>
      </x:c>
    </x:row>
    <x:row r="179" ht="44" customHeight="1">
      <x:c r="A179" s="10" t="str">
        <x:v>FMS0281__principal_evidence</x:v>
      </x:c>
      <x:c r="B179" s="11" t="str">
        <x:v>FMS0281</x:v>
      </x:c>
      <x:c r="C179" s="11" t="str">
        <x:v>final_multisource_132</x:v>
      </x:c>
      <x:c r="D179" s="11" t="str">
        <x:v>AWE: Adaptive Agents for Dynamic Web Penetration Testing</x:v>
      </x:c>
      <x:c r="E179" s="11" t="str">
        <x:v>principal reported evidence output</x:v>
      </x:c>
      <x:c r="F179" s="11" t="str">
        <x:v>single-label</x:v>
      </x:c>
      <x:c r="G179" s="11" t="str">
        <x:v>runtime safety signal</x:v>
      </x:c>
      <x:c r="H179" s="11" t="str">
        <x:v>controlled task completion</x:v>
      </x:c>
      <x:c r="I179" s="11" t="str">
        <x:v>source-linked lead</x:v>
      </x:c>
      <x:c r="J179" s="11" t="str">
        <x:v>https://arxiv.org/pdf/2603.00960 | role p.2; action p.1; feedback p.1; validation p.1; evaluation p.1</x:v>
      </x:c>
      <x:c r="K179" s="11" t="str">
        <x:v>and poor to appear across most real world applications [1]. Despite reproducibility. ongoing advancements in secure development practices, these We introduce AWE, a memory-augmented multi-agent frame- vulnerability classes remain persistent. The widening gap work for autonomous web pe</x:v>
      </x:c>
      <x:c r="L179" s="16" t="str">
        <x:v>A source-linked excerpt and locator are supplied as review leads for auditability.</x:v>
      </x:c>
      <x:c r="M179" s="16" t="str">
        <x:v>Select the observable result most directly supporting the main finding. Benchmark ground truth or aggregate CVE counts do not automatically establish externally traceable material.</x:v>
      </x:c>
      <x:c r="N179" s="16" t="str">
        <x:v>runtime safety signal</x:v>
      </x:c>
      <x:c r="O179" s="16" t="str">
        <x:v>The cited source supports the selected label runtime safety signal as the main observable result reported for the study.</x:v>
      </x:c>
      <x:c r="P179" s="16" t="str">
        <x:v>https://arxiv.org/pdf/2603.00960 | role p.2; action p.1; feedback p.1; validation p.1; evaluation p.1</x:v>
      </x:c>
      <x:c r="Q179" s="16" t="str">
        <x:v>no</x:v>
      </x:c>
      <x:c r="R179" s="11" t="str"/>
      <x:c r="S179" s="11" t="str">
        <x:v>2026-08-12</x:v>
      </x:c>
      <x:c r="T179" s="18" t="str">
        <x:f>IF(OR(AND(N179="unresolved",LEN(O179)&gt;0,LEN(P179)&gt;0,Q179="yes"),AND(LEN(N179)&gt;0,LEN(O179)&gt;0,LEN(P179)&gt;0,OR(Q179="yes",Q179="no"))),"ready","pending")</x:f>
        <x:v>ready</x:v>
      </x:c>
    </x:row>
    <x:row r="180" ht="44" customHeight="1">
      <x:c r="A180" s="10" t="str">
        <x:v>FMS0284__principal_evidence</x:v>
      </x:c>
      <x:c r="B180" s="11" t="str">
        <x:v>FMS0284</x:v>
      </x:c>
      <x:c r="C180" s="11" t="str">
        <x:v>final_multisource_132</x:v>
      </x:c>
      <x:c r="D180" s="11" t="str">
        <x:v>BACFuzz: Exposing the Silence on Broken Access Control Vulnerabilities in Web Applications</x:v>
      </x:c>
      <x:c r="E180" s="11" t="str">
        <x:v>principal reported evidence output</x:v>
      </x:c>
      <x:c r="F180" s="11" t="str">
        <x:v>single-label</x:v>
      </x:c>
      <x:c r="G180" s="11" t="str">
        <x:v>runtime safety signal</x:v>
      </x:c>
      <x:c r="H180" s="11" t="str">
        <x:v>reproducible validation</x:v>
      </x:c>
      <x:c r="I180" s="11" t="str">
        <x:v>source-linked lead</x:v>
      </x:c>
      <x:c r="J180" s="11" t="str">
        <x:v>https://arxiv.org/pdf/2507.15984 | role p.1; action p.1; feedback p.1; validation p.1; evaluation p.2</x:v>
      </x:c>
      <x:c r="K180" s="11" t="str">
        <x:v>YY/MM backed web application typically parses it, performs validation and https://doi.org/XXXXXXX.XXXXXXX authorization checks, and then constructs backend SQL queries. If Under peer-review, June xx–xx, 2025, US</x:v>
      </x:c>
      <x:c r="L180" s="16" t="str">
        <x:v>A source-linked excerpt and locator are supplied as review leads for auditability.</x:v>
      </x:c>
      <x:c r="M180" s="16" t="str">
        <x:v>Select the observable result most directly supporting the main finding. Benchmark ground truth or aggregate CVE counts do not automatically establish externally traceable material.</x:v>
      </x:c>
      <x:c r="N180" s="16" t="str">
        <x:v>runtime safety signal</x:v>
      </x:c>
      <x:c r="O180" s="16" t="str">
        <x:v>The cited source supports the selected label runtime safety signal as the main observable result reported for the study.</x:v>
      </x:c>
      <x:c r="P180" s="16" t="str">
        <x:v>https://arxiv.org/pdf/2507.15984 | role p.1; action p.1; feedback p.1; validation p.1; evaluation p.2</x:v>
      </x:c>
      <x:c r="Q180" s="16" t="str">
        <x:v>no</x:v>
      </x:c>
      <x:c r="R180" s="11" t="str"/>
      <x:c r="S180" s="11" t="str">
        <x:v>2026-08-12</x:v>
      </x:c>
      <x:c r="T180" s="18" t="str">
        <x:f>IF(OR(AND(N180="unresolved",LEN(O180)&gt;0,LEN(P180)&gt;0,Q180="yes"),AND(LEN(N180)&gt;0,LEN(O180)&gt;0,LEN(P180)&gt;0,OR(Q180="yes",Q180="no"))),"ready","pending")</x:f>
        <x:v>ready</x:v>
      </x:c>
    </x:row>
    <x:row r="181" ht="44" customHeight="1">
      <x:c r="A181" s="10" t="str">
        <x:v>FMS0284__external_traceability</x:v>
      </x:c>
      <x:c r="B181" s="11" t="str">
        <x:v>FMS0284</x:v>
      </x:c>
      <x:c r="C181" s="11" t="str">
        <x:v>final_multisource_132</x:v>
      </x:c>
      <x:c r="D181" s="11" t="str">
        <x:v>BACFuzz: Exposing the Silence on Broken Access Control Vulnerabilities in Web Applications</x:v>
      </x:c>
      <x:c r="E181" s="11" t="str">
        <x:v>external traceability</x:v>
      </x:c>
      <x:c r="F181" s="11" t="str">
        <x:v>single-label</x:v>
      </x:c>
      <x:c r="G181" s="11" t="str">
        <x:v>author-reported external clue</x:v>
      </x:c>
      <x:c r="H181" s="11" t="str">
        <x:v>benchmark ground truth / public material</x:v>
      </x:c>
      <x:c r="I181" s="11" t="str">
        <x:v>source-linked lead</x:v>
      </x:c>
      <x:c r="J181" s="11" t="str">
        <x:v>https://arxiv.org/pdf/2507.15984 | role p.1; action p.1; feedback p.1; validation p.1; evaluation p.2</x:v>
      </x:c>
      <x:c r="K181" s="11" t="str">
        <x:v>curs as inadequate access controls allow a user to manipulate or We evaluate BACFuzz on 20 PHP-based Web Under Test (WUT) access data objects that they are not permitted to view or modify. applications. It successfully reproduces 16 of 17 known BAC issues For example, assume that a web portal application stores products and uncovers 26 previously unknown vulnerabilities, all of which from different sellers and only the</x:v>
      </x:c>
      <x:c r="L181" s="16" t="str">
        <x:v>A source-linked excerpt and locator are supplied as review leads for auditability.</x:v>
      </x:c>
      <x:c r="M181" s="16" t="str">
        <x:v>Code separately from principal output. Only item-level alignment between a concrete system result and a specific public external record qualifies as publicly aligned external trace.</x:v>
      </x:c>
      <x:c r="N181" s="16" t="str">
        <x:v>author-reported external clue</x:v>
      </x:c>
      <x:c r="O181" s="16" t="str">
        <x:v>The cited source supports the selected label author-reported external clue under the codebook's item-level public-record alignment criterion.</x:v>
      </x:c>
      <x:c r="P181" s="16" t="str">
        <x:v>https://arxiv.org/pdf/2507.15984 | role p.1; action p.1; feedback p.1; validation p.1; evaluation p.2</x:v>
      </x:c>
      <x:c r="Q181" s="16" t="str">
        <x:v>no</x:v>
      </x:c>
      <x:c r="R181" s="11" t="str"/>
      <x:c r="S181" s="11" t="str">
        <x:v>2026-08-12</x:v>
      </x:c>
      <x:c r="T181" s="18" t="str">
        <x:f>IF(OR(AND(N181="unresolved",LEN(O181)&gt;0,LEN(P181)&gt;0,Q181="yes"),AND(LEN(N181)&gt;0,LEN(O181)&gt;0,LEN(P181)&gt;0,OR(Q181="yes",Q181="no"))),"ready","pending")</x:f>
        <x:v>ready</x:v>
      </x:c>
    </x:row>
    <x:row r="182" ht="44" customHeight="1">
      <x:c r="A182" s="10" t="str">
        <x:v>FMS0288__lifecycle</x:v>
      </x:c>
      <x:c r="B182" s="11" t="str">
        <x:v>FMS0288</x:v>
      </x:c>
      <x:c r="C182" s="11" t="str">
        <x:v>final_multisource_132</x:v>
      </x:c>
      <x:c r="D182" s="11" t="str">
        <x:v>Baselines Before Architecture: Evaluating Coding Agents for Autonomous Penetration Testing</x:v>
      </x:c>
      <x:c r="E182" s="11" t="str">
        <x:v>lifecycle coverage</x:v>
      </x:c>
      <x:c r="F182" s="11" t="str">
        <x:v>multi-label</x:v>
      </x:c>
      <x:c r="G182" s="11" t="str">
        <x:v>execution observation;path and input exploration;reporting and audit</x:v>
      </x:c>
      <x:c r="H182" s="11" t="str">
        <x:v>candidate analysis;execution observation;path and input exploration;reporting and audit</x:v>
      </x:c>
      <x:c r="I182" s="11" t="str">
        <x:v>source-linked lead</x:v>
      </x:c>
      <x:c r="J182" s="11" t="str">
        <x:v>https://arxiv.org/pdf/2607.13085 | role p.1; action p.1; feedback p.1; validation p.1; evaluation p.1</x:v>
      </x:c>
      <x:c r="K182" s="11" t="str">
        <x:v>1) RQ1: Plain-agent selection. When Codex, OpenCode, I. I NTRODUCTION</x:v>
      </x:c>
      <x:c r="L182" s="16" t="str">
        <x:v>A source-linked excerpt and locator are supplied as review leads for auditability.</x:v>
      </x:c>
      <x:c r="M182" s="16" t="str">
        <x:v>Mark only observable lifecycle actions or outputs. Reporting and audit requires explicit packaging, routing, disclosure, or audit transition; a report name alone is insufficient.</x:v>
      </x:c>
      <x:c r="N182" s="16" t="str">
        <x:v>path and input exploration;execution observation;reporting and audit</x:v>
      </x:c>
      <x:c r="O182" s="16" t="str">
        <x:v>The cited source supports the selected label path and input exploration;execution observation;reporting and audit; only observable workflow actions or outputs were retained.</x:v>
      </x:c>
      <x:c r="P182" s="16" t="str">
        <x:v>https://arxiv.org/pdf/2607.13085 | role p.1; action p.1; feedback p.1; validation p.1; evaluation p.1</x:v>
      </x:c>
      <x:c r="Q182" s="16" t="str">
        <x:v>no</x:v>
      </x:c>
      <x:c r="R182" s="11" t="str"/>
      <x:c r="S182" s="11" t="str">
        <x:v>2026-08-12</x:v>
      </x:c>
      <x:c r="T182" s="18" t="str">
        <x:f>IF(OR(AND(N182="unresolved",LEN(O182)&gt;0,LEN(P182)&gt;0,Q182="yes"),AND(LEN(N182)&gt;0,LEN(O182)&gt;0,LEN(P182)&gt;0,OR(Q182="yes",Q182="no"))),"ready","pending")</x:f>
        <x:v>ready</x:v>
      </x:c>
    </x:row>
    <x:row r="183" ht="44" customHeight="1">
      <x:c r="A183" s="10" t="str">
        <x:v>FMS0288__capability</x:v>
      </x:c>
      <x:c r="B183" s="11" t="str">
        <x:v>FMS0288</x:v>
      </x:c>
      <x:c r="C183" s="11" t="str">
        <x:v>final_multisource_132</x:v>
      </x:c>
      <x:c r="D183" s="11" t="str">
        <x:v>Baselines Before Architecture: Evaluating Coding Agents for Autonomous Penetration Testing</x:v>
      </x:c>
      <x:c r="E183" s="11" t="str">
        <x:v>cross-stage capability</x:v>
      </x:c>
      <x:c r="F183" s="11" t="str">
        <x:v>multi-label</x:v>
      </x:c>
      <x:c r="G183" s="11" t="str">
        <x:v>failure reuse / strategy update;feedback interpretation / loop adjustment;long-horizon state management;tool routing / strategy routing</x:v>
      </x:c>
      <x:c r="H183" s="11" t="str">
        <x:v>context aggregation / rule extraction;failure reuse / strategy update;feedback interpretation / loop adjustment;governance / human gates / disclosure control;long-horizon state management;tool routing / strategy routing;validation organization / evidence packaging</x:v>
      </x:c>
      <x:c r="I183" s="11" t="str">
        <x:v>source-linked lead</x:v>
      </x:c>
      <x:c r="J183" s="11" t="str">
        <x:v>https://arxiv.org/pdf/2607.13085 | role p.1; action p.1; feedback p.1; validation p.1; evaluation p.1</x:v>
      </x:c>
      <x:c r="K183" s="11" t="str">
        <x:v>model matches. Finally, we repeat the plain-agent experiment scripts, execute commands, and iterate from feedback. This with GPT-5.2 and GPT-5.5 to measure model scaling inside the same scaffold. makes them useful controls for measuring the residual value The results show a mixed but practica</x:v>
      </x:c>
      <x:c r="L183" s="16" t="str">
        <x:v>A source-linked excerpt and locator are supplied as review leads for auditability.</x:v>
      </x:c>
      <x:c r="M183" s="16" t="str">
        <x:v>Require an explicit cross-stage connection. Information must guide later action; feedback must alter later action; packaging must assemble prior outputs; governance must enforce an actual gate.</x:v>
      </x:c>
      <x:c r="N183" s="16" t="str">
        <x:v>tool routing / strategy routing;feedback interpretation / loop adjustment;long-horizon state management;failure reuse / strategy update</x:v>
      </x:c>
      <x:c r="O183" s="16" t="str">
        <x:v>The cited source supports the selected label tool routing / strategy routing;feedback interpretation / loop adjustment;long-horizon state management;failure reuse / strategy update; each retained label requires an explicit connection that guides later action, feedback, packaging, or a gate.</x:v>
      </x:c>
      <x:c r="P183" s="16" t="str">
        <x:v>https://arxiv.org/pdf/2607.13085 | role p.1; action p.1; feedback p.1; validation p.1; evaluation p.1</x:v>
      </x:c>
      <x:c r="Q183" s="16" t="str">
        <x:v>no</x:v>
      </x:c>
      <x:c r="R183" s="11" t="str"/>
      <x:c r="S183" s="11" t="str">
        <x:v>2026-08-12</x:v>
      </x:c>
      <x:c r="T183" s="18" t="str">
        <x:f>IF(OR(AND(N183="unresolved",LEN(O183)&gt;0,LEN(P183)&gt;0,Q183="yes"),AND(LEN(N183)&gt;0,LEN(O183)&gt;0,LEN(P183)&gt;0,OR(Q183="yes",Q183="no"))),"ready","pending")</x:f>
        <x:v>ready</x:v>
      </x:c>
    </x:row>
    <x:row r="184" ht="44" customHeight="1">
      <x:c r="A184" s="10" t="str">
        <x:v>FMS0372__lifecycle</x:v>
      </x:c>
      <x:c r="B184" s="11" t="str">
        <x:v>FMS0372</x:v>
      </x:c>
      <x:c r="C184" s="11" t="str">
        <x:v>final_multisource_132</x:v>
      </x:c>
      <x:c r="D184" s="11" t="str">
        <x:v>Chai: Agentic Discovery of Cryptographic Misuse Vulnerabilities</x:v>
      </x:c>
      <x:c r="E184" s="11" t="str">
        <x:v>lifecycle coverage</x:v>
      </x:c>
      <x:c r="F184" s="11" t="str">
        <x:v>multi-label</x:v>
      </x:c>
      <x:c r="G184" s="11" t="str">
        <x:v>candidate analysis;execution observation;path and input exploration;reporting and audit;reproduction and validation</x:v>
      </x:c>
      <x:c r="H184" s="11" t="str">
        <x:v>candidate analysis;execution observation;reporting and audit;reproduction and validation</x:v>
      </x:c>
      <x:c r="I184" s="11" t="str">
        <x:v>source-linked lead</x:v>
      </x:c>
      <x:c r="J184" s="11" t="str">
        <x:v>https://arxiv.org/pdf/2606.26933 | role p.2; action p.1; feedback p.1; validation p.1; evaluation p.1</x:v>
      </x:c>
      <x:c r="K184" s="11" t="str">
        <x:v>the dependencies, but the dependency tree quickly explodes, Agent Agent Agent and even then it re-derives a very similar analysis for every project built on the same libra</x:v>
      </x:c>
      <x:c r="L184" s="16" t="str">
        <x:v>A source-linked excerpt and locator are supplied as review leads for auditability.</x:v>
      </x:c>
      <x:c r="M184" s="16" t="str">
        <x:v>Mark only observable lifecycle actions or outputs. Reporting and audit requires explicit packaging, routing, disclosure, or audit transition; a report name alone is insufficient.</x:v>
      </x:c>
      <x:c r="N184" s="16" t="str">
        <x:v>candidate analysis;path and input exploration;execution observation;reproduction and validation;reporting and audit</x:v>
      </x:c>
      <x:c r="O184" s="16" t="str">
        <x:v>The cited source supports the selected label candidate analysis;path and input exploration;execution observation;reproduction and validation;reporting and audit; only observable workflow actions or outputs were retained.</x:v>
      </x:c>
      <x:c r="P184" s="16" t="str">
        <x:v>https://arxiv.org/pdf/2606.26933 | role p.2; action p.1; feedback p.1; validation p.1; evaluation p.1</x:v>
      </x:c>
      <x:c r="Q184" s="16" t="str">
        <x:v>no</x:v>
      </x:c>
      <x:c r="R184" s="11" t="str"/>
      <x:c r="S184" s="11" t="str">
        <x:v>2026-08-12</x:v>
      </x:c>
      <x:c r="T184" s="18" t="str">
        <x:f>IF(OR(AND(N184="unresolved",LEN(O184)&gt;0,LEN(P184)&gt;0,Q184="yes"),AND(LEN(N184)&gt;0,LEN(O184)&gt;0,LEN(P184)&gt;0,OR(Q184="yes",Q184="no"))),"ready","pending")</x:f>
        <x:v>ready</x:v>
      </x:c>
    </x:row>
    <x:row r="185" ht="44" customHeight="1">
      <x:c r="A185" s="10" t="str">
        <x:v>FMS0372__capability</x:v>
      </x:c>
      <x:c r="B185" s="11" t="str">
        <x:v>FMS0372</x:v>
      </x:c>
      <x:c r="C185" s="11" t="str">
        <x:v>final_multisource_132</x:v>
      </x:c>
      <x:c r="D185" s="11" t="str">
        <x:v>Chai: Agentic Discovery of Cryptographic Misuse Vulnerabilities</x:v>
      </x:c>
      <x:c r="E185" s="11" t="str">
        <x:v>cross-stage capability</x:v>
      </x:c>
      <x:c r="F185" s="11" t="str">
        <x:v>multi-label</x:v>
      </x:c>
      <x:c r="G185" s="11" t="str">
        <x:v>context aggregation / rule extraction;failure reuse / strategy update;feedback interpretation / loop adjustment;long-horizon state management;tool routing / strategy routing;validation organization / evidence packaging</x:v>
      </x:c>
      <x:c r="H185" s="11" t="str">
        <x:v>context aggregation / rule extraction;feedback interpretation / loop adjustment;tool routing / strategy routing;validation organization / evidence packaging</x:v>
      </x:c>
      <x:c r="I185" s="11" t="str">
        <x:v>source-linked lead</x:v>
      </x:c>
      <x:c r="J185" s="11" t="str">
        <x:v>https://arxiv.org/pdf/2606.26933 | role p.2; action p.1; feedback p.1; validation p.1; evaluation p.1</x:v>
      </x:c>
      <x:c r="K185" s="11" t="str">
        <x:v>app fective for bug classes like memory safety, where instru- JWT jws-express JWT BCP mentation confirms memory violations and efficiently filters (RFC 7519) (R</x:v>
      </x:c>
      <x:c r="L185" s="16" t="str">
        <x:v>A source-linked excerpt and locator are supplied as review leads for auditability.</x:v>
      </x:c>
      <x:c r="M185" s="16" t="str">
        <x:v>Require an explicit cross-stage connection. Information must guide later action; feedback must alter later action; packaging must assemble prior outputs; governance must enforce an actual gate.</x:v>
      </x:c>
      <x:c r="N185" s="16" t="str">
        <x:v>context aggregation / rule extraction;tool routing / strategy routing;feedback interpretation / loop adjustment;validation organization / evidence packaging;long-horizon state management;failure reuse / strategy update</x:v>
      </x:c>
      <x:c r="O185"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85" s="16" t="str">
        <x:v>https://arxiv.org/pdf/2606.26933 | role p.2; action p.1; feedback p.1; validation p.1; evaluation p.1</x:v>
      </x:c>
      <x:c r="Q185" s="16" t="str">
        <x:v>no</x:v>
      </x:c>
      <x:c r="R185" s="11" t="str"/>
      <x:c r="S185" s="11" t="str">
        <x:v>2026-08-12</x:v>
      </x:c>
      <x:c r="T185" s="18" t="str">
        <x:f>IF(OR(AND(N185="unresolved",LEN(O185)&gt;0,LEN(P185)&gt;0,Q185="yes"),AND(LEN(N185)&gt;0,LEN(O185)&gt;0,LEN(P185)&gt;0,OR(Q185="yes",Q185="no"))),"ready","pending")</x:f>
        <x:v>ready</x:v>
      </x:c>
    </x:row>
    <x:row r="186" ht="44" customHeight="1">
      <x:c r="A186" s="10" t="str">
        <x:v>FMS0372__principal_evidence</x:v>
      </x:c>
      <x:c r="B186" s="11" t="str">
        <x:v>FMS0372</x:v>
      </x:c>
      <x:c r="C186" s="11" t="str">
        <x:v>final_multisource_132</x:v>
      </x:c>
      <x:c r="D186" s="11" t="str">
        <x:v>Chai: Agentic Discovery of Cryptographic Misuse Vulnerabilities</x:v>
      </x:c>
      <x:c r="E186" s="11" t="str">
        <x:v>principal reported evidence output</x:v>
      </x:c>
      <x:c r="F186" s="11" t="str">
        <x:v>single-label</x:v>
      </x:c>
      <x:c r="G186" s="11" t="str">
        <x:v>reproducible validation</x:v>
      </x:c>
      <x:c r="H186" s="11" t="str">
        <x:v>externally traceable material</x:v>
      </x:c>
      <x:c r="I186" s="11" t="str">
        <x:v>source-linked lead</x:v>
      </x:c>
      <x:c r="J186" s="11" t="str">
        <x:v>https://arxiv.org/pdf/2606.26933 | role p.2; action p.1; feedback p.1; validation p.1; evaluation p.1</x:v>
      </x:c>
      <x:c r="K186" s="11" t="str">
        <x:v>JWA node:crypto JWK/JWKS that discovers and validates cryptographic misuse vulnera- (RFC 7518) (RFC 7517) bilities through naturally occurring signals. To achieve this, RSA</x:v>
      </x:c>
      <x:c r="L186" s="16" t="str">
        <x:v>A source-linked excerpt and locator are supplied as review leads for auditability.</x:v>
      </x:c>
      <x:c r="M186" s="16" t="str">
        <x:v>Select the observable result most directly supporting the main finding. Benchmark ground truth or aggregate CVE counts do not automatically establish externally traceable material.</x:v>
      </x:c>
      <x:c r="N186" s="16" t="str">
        <x:v>reproducible validation</x:v>
      </x:c>
      <x:c r="O186" s="16" t="str">
        <x:v>The cited source supports the selected label reproducible validation as the main observable result reported for the study.</x:v>
      </x:c>
      <x:c r="P186" s="16" t="str">
        <x:v>https://arxiv.org/pdf/2606.26933 | role p.2; action p.1; feedback p.1; validation p.1; evaluation p.1</x:v>
      </x:c>
      <x:c r="Q186" s="16" t="str">
        <x:v>no</x:v>
      </x:c>
      <x:c r="R186" s="11" t="str"/>
      <x:c r="S186" s="11" t="str">
        <x:v>2026-08-12</x:v>
      </x:c>
      <x:c r="T186" s="18" t="str">
        <x:f>IF(OR(AND(N186="unresolved",LEN(O186)&gt;0,LEN(P186)&gt;0,Q186="yes"),AND(LEN(N186)&gt;0,LEN(O186)&gt;0,LEN(P186)&gt;0,OR(Q186="yes",Q186="no"))),"ready","pending")</x:f>
        <x:v>ready</x:v>
      </x:c>
    </x:row>
    <x:row r="187" ht="44" customHeight="1">
      <x:c r="A187" s="10" t="str">
        <x:v>FMS0372__external_traceability</x:v>
      </x:c>
      <x:c r="B187" s="11" t="str">
        <x:v>FMS0372</x:v>
      </x:c>
      <x:c r="C187" s="11" t="str">
        <x:v>final_multisource_132</x:v>
      </x:c>
      <x:c r="D187" s="11" t="str">
        <x:v>Chai: Agentic Discovery of Cryptographic Misuse Vulnerabilities</x:v>
      </x:c>
      <x:c r="E187" s="11" t="str">
        <x:v>external traceability</x:v>
      </x:c>
      <x:c r="F187" s="11" t="str">
        <x:v>single-label</x:v>
      </x:c>
      <x:c r="G187" s="11" t="str">
        <x:v>author-reported external clue</x:v>
      </x:c>
      <x:c r="H187" s="11" t="str">
        <x:v>publicly aligned external trace</x:v>
      </x:c>
      <x:c r="I187" s="11" t="str">
        <x:v>source-linked lead</x:v>
      </x:c>
      <x:c r="J187" s="11" t="str">
        <x:v>https://arxiv.org/pdf/2606.26933 | role p.2; action p.1; feedback p.1; validation p.1; evaluation p.1</x:v>
      </x:c>
      <x:c r="K187" s="11" t="str">
        <x:v>loitable memory-safety vulner- graph, delivering compounding efficiency gains. We evaluate abilities occurred roughly 3.4× less frequently than a year Chai across X.509, JWT, and SAML libraries. Chai discovered prior [19]. This shows that volume alone does not translate a previously unknown critical vulnerability in an SSL library into real-world impact. By contra</x:v>
      </x:c>
      <x:c r="L187" s="16" t="str">
        <x:v>A source-linked excerpt and locator are supplied as review leads for auditability.</x:v>
      </x:c>
      <x:c r="M187" s="16" t="str">
        <x:v>Code separately from principal output. Only item-level alignment between a concrete system result and a specific public external record qualifies as publicly aligned external trace.</x:v>
      </x:c>
      <x:c r="N187" s="16" t="str">
        <x:v>author-reported external clue</x:v>
      </x:c>
      <x:c r="O187" s="16" t="str">
        <x:v>The cited source supports the selected label author-reported external clue under the codebook's item-level public-record alignment criterion.</x:v>
      </x:c>
      <x:c r="P187" s="16" t="str">
        <x:v>https://arxiv.org/pdf/2606.26933 | role p.2; action p.1; feedback p.1; validation p.1; evaluation p.1</x:v>
      </x:c>
      <x:c r="Q187" s="16" t="str">
        <x:v>no</x:v>
      </x:c>
      <x:c r="R187" s="11" t="str"/>
      <x:c r="S187" s="11" t="str">
        <x:v>2026-08-12</x:v>
      </x:c>
      <x:c r="T187" s="18" t="str">
        <x:f>IF(OR(AND(N187="unresolved",LEN(O187)&gt;0,LEN(P187)&gt;0,Q187="yes"),AND(LEN(N187)&gt;0,LEN(O187)&gt;0,LEN(P187)&gt;0,OR(Q187="yes",Q187="no"))),"ready","pending")</x:f>
        <x:v>ready</x:v>
      </x:c>
    </x:row>
    <x:row r="188" ht="44" customHeight="1">
      <x:c r="A188" s="10" t="str">
        <x:v>FMS0389__lifecycle</x:v>
      </x:c>
      <x:c r="B188" s="11" t="str">
        <x:v>FMS0389</x:v>
      </x:c>
      <x:c r="C188" s="11" t="str">
        <x:v>final_multisource_132</x:v>
      </x:c>
      <x:c r="D188" s="11" t="str">
        <x:v>CKG-LLM: LLM-Assisted Detection of Smart Contract Access Control Vulnerabilities Based on Knowledge Graphs</x:v>
      </x:c>
      <x:c r="E188" s="11" t="str">
        <x:v>lifecycle coverage</x:v>
      </x:c>
      <x:c r="F188" s="11" t="str">
        <x:v>multi-label</x:v>
      </x:c>
      <x:c r="G188" s="11" t="str">
        <x:v>candidate analysis;execution observation</x:v>
      </x:c>
      <x:c r="H188" s="11" t="str">
        <x:v>candidate analysis;reporting and audit</x:v>
      </x:c>
      <x:c r="I188" s="11" t="str">
        <x:v>source-linked lead</x:v>
      </x:c>
      <x:c r="J188" s="11" t="str">
        <x:v>https://arxiv.org/pdf/2512.06846 | role p.1; action p.1; feedback p.1; validation p.3; evaluation p.1</x:v>
      </x:c>
      <x:c r="K188" s="11" t="str">
        <x:v>esents semantically enriched CKG. Furthermore, the framework leverages CKG-LLM, a framework for detecting access-control vulnerabilities the code generation and reasoning capabilities of large language in smart contracts. Leveraging the reasoning</x:v>
      </x:c>
      <x:c r="L188" s="16" t="str">
        <x:v>A source-linked excerpt and locator are supplied as review leads for auditability.</x:v>
      </x:c>
      <x:c r="M188" s="16" t="str">
        <x:v>Mark only observable lifecycle actions or outputs. Reporting and audit requires explicit packaging, routing, disclosure, or audit transition; a report name alone is insufficient.</x:v>
      </x:c>
      <x:c r="N188" s="16" t="str">
        <x:v>candidate analysis;execution observation</x:v>
      </x:c>
      <x:c r="O188" s="16" t="str">
        <x:v>The cited source supports the selected label candidate analysis;execution observation; only observable workflow actions or outputs were retained.</x:v>
      </x:c>
      <x:c r="P188" s="16" t="str">
        <x:v>https://arxiv.org/pdf/2512.06846 | role p.1; action p.1; feedback p.1; validation p.3; evaluation p.1</x:v>
      </x:c>
      <x:c r="Q188" s="16" t="str">
        <x:v>no</x:v>
      </x:c>
      <x:c r="R188" s="11" t="str"/>
      <x:c r="S188" s="11" t="str">
        <x:v>2026-08-12</x:v>
      </x:c>
      <x:c r="T188" s="18" t="str">
        <x:f>IF(OR(AND(N188="unresolved",LEN(O188)&gt;0,LEN(P188)&gt;0,Q188="yes"),AND(LEN(N188)&gt;0,LEN(O188)&gt;0,LEN(P188)&gt;0,OR(Q188="yes",Q188="no"))),"ready","pending")</x:f>
        <x:v>ready</x:v>
      </x:c>
    </x:row>
    <x:row r="189" ht="44" customHeight="1">
      <x:c r="A189" s="10" t="str">
        <x:v>FMS0389__capability</x:v>
      </x:c>
      <x:c r="B189" s="11" t="str">
        <x:v>FMS0389</x:v>
      </x:c>
      <x:c r="C189" s="11" t="str">
        <x:v>final_multisource_132</x:v>
      </x:c>
      <x:c r="D189" s="11" t="str">
        <x:v>CKG-LLM: LLM-Assisted Detection of Smart Contract Access Control Vulnerabilities Based on Knowledge Graphs</x:v>
      </x:c>
      <x:c r="E189" s="11" t="str">
        <x:v>cross-stage capability</x:v>
      </x:c>
      <x:c r="F189" s="11" t="str">
        <x:v>multi-label</x:v>
      </x:c>
      <x:c r="G189" s="11" t="str">
        <x:v>context aggregation / rule extraction;failure reuse / strategy update;feedback interpretation / loop adjustment;tool routing / strategy routing</x:v>
      </x:c>
      <x:c r="H189" s="11" t="str">
        <x:v>context aggregation / rule extraction;feedback interpretation / loop adjustment;long-horizon state management;tool routing / strategy routing;validation organization / evidence packaging</x:v>
      </x:c>
      <x:c r="I189" s="11" t="str">
        <x:v>source-linked lead</x:v>
      </x:c>
      <x:c r="J189" s="11" t="str">
        <x:v>https://arxiv.org/pdf/2512.06846 | role p.1; action p.1; feedback p.1; validation p.3; evaluation p.1</x:v>
      </x:c>
      <x:c r="K189" s="11" t="str">
        <x:v>elements. Experimental evaluation demonstrates that CKG-LLM approach that incorporates feedback from an auxiliary language achieves superior performance in detecting access-control vulner- model agent, enabling iterative refinement of query generation. abilities compared to existing tools. Finally, we discuss potential The main contributions of this paper are</x:v>
      </x:c>
      <x:c r="L189" s="16" t="str">
        <x:v>A source-linked excerpt and locator are supplied as review leads for auditability.</x:v>
      </x:c>
      <x:c r="M189" s="16" t="str">
        <x:v>Require an explicit cross-stage connection. Information must guide later action; feedback must alter later action; packaging must assemble prior outputs; governance must enforce an actual gate.</x:v>
      </x:c>
      <x:c r="N189" s="16" t="str">
        <x:v>context aggregation / rule extraction;tool routing / strategy routing;feedback interpretation / loop adjustment;failure reuse / strategy update</x:v>
      </x:c>
      <x:c r="O189" s="16" t="str">
        <x:v>The cited source supports the selected label context aggregation / rule extraction;tool routing / strategy routing;feedback interpretation / loop adjustment;failure reuse / strategy update; each retained label requires an explicit connection that guides later action, feedback, packaging, or a gate.</x:v>
      </x:c>
      <x:c r="P189" s="16" t="str">
        <x:v>https://arxiv.org/pdf/2512.06846 | role p.1; action p.1; feedback p.1; validation p.3; evaluation p.1</x:v>
      </x:c>
      <x:c r="Q189" s="16" t="str">
        <x:v>no</x:v>
      </x:c>
      <x:c r="R189" s="11" t="str"/>
      <x:c r="S189" s="11" t="str">
        <x:v>2026-08-12</x:v>
      </x:c>
      <x:c r="T189" s="18" t="str">
        <x:f>IF(OR(AND(N189="unresolved",LEN(O189)&gt;0,LEN(P189)&gt;0,Q189="yes"),AND(LEN(N189)&gt;0,LEN(O189)&gt;0,LEN(P189)&gt;0,OR(Q189="yes",Q189="no"))),"ready","pending")</x:f>
        <x:v>ready</x:v>
      </x:c>
    </x:row>
    <x:row r="190" ht="44" customHeight="1">
      <x:c r="A190" s="10" t="str">
        <x:v>FMS0389__external_traceability</x:v>
      </x:c>
      <x:c r="B190" s="11" t="str">
        <x:v>FMS0389</x:v>
      </x:c>
      <x:c r="C190" s="11" t="str">
        <x:v>final_multisource_132</x:v>
      </x:c>
      <x:c r="D190" s="11" t="str">
        <x:v>CKG-LLM: LLM-Assisted Detection of Smart Contract Access Control Vulnerabilities Based on Knowledge Graphs</x:v>
      </x:c>
      <x:c r="E190" s="11" t="str">
        <x:v>external traceability</x:v>
      </x:c>
      <x:c r="F190" s="11" t="str">
        <x:v>single-label</x:v>
      </x:c>
      <x:c r="G190" s="11" t="str">
        <x:v>benchmark ground truth / public material</x:v>
      </x:c>
      <x:c r="H190" s="11" t="str">
        <x:v>no external trace reported</x:v>
      </x:c>
      <x:c r="I190" s="11" t="str">
        <x:v>source-linked lead</x:v>
      </x:c>
      <x:c r="J190" s="11" t="str">
        <x:v>https://arxiv.org/pdf/2512.06846 | role p.1; action p.1; feedback p.1; validation p.3; evaluation p.1</x:v>
      </x:c>
      <x:c r="K190" s="11" t="str">
        <x:v>further introduce RLAF, a domain-adaptive reinforcement learning elements. Experimental evaluation demonstrates that CKG-LLM approach that incorporates feedback from an auxiliary language achieves superior performance in detecting access-control vulner- model agent, enabling iterative refinement of query generation. abilities compared to existing tools. Finally, we</x:v>
      </x:c>
      <x:c r="L190" s="16" t="str">
        <x:v>A source-linked excerpt and locator are supplied as review leads for auditability.</x:v>
      </x:c>
      <x:c r="M190" s="16" t="str">
        <x:v>Code separately from principal output. Only item-level alignment between a concrete system result and a specific public external record qualifies as publicly aligned external trace.</x:v>
      </x:c>
      <x:c r="N190" s="16" t="str">
        <x:v>benchmark ground truth / public material</x:v>
      </x:c>
      <x:c r="O190" s="16" t="str">
        <x:v>The cited source supports the selected label benchmark ground truth / public material under the codebook's item-level public-record alignment criterion.</x:v>
      </x:c>
      <x:c r="P190" s="16" t="str">
        <x:v>https://arxiv.org/pdf/2512.06846 | role p.1; action p.1; feedback p.1; validation p.3; evaluation p.1</x:v>
      </x:c>
      <x:c r="Q190" s="16" t="str">
        <x:v>no</x:v>
      </x:c>
      <x:c r="R190" s="11" t="str"/>
      <x:c r="S190" s="11" t="str">
        <x:v>2026-08-12</x:v>
      </x:c>
      <x:c r="T190" s="18" t="str">
        <x:f>IF(OR(AND(N190="unresolved",LEN(O190)&gt;0,LEN(P190)&gt;0,Q190="yes"),AND(LEN(N190)&gt;0,LEN(O190)&gt;0,LEN(P190)&gt;0,OR(Q190="yes",Q190="no"))),"ready","pending")</x:f>
        <x:v>ready</x:v>
      </x:c>
    </x:row>
    <x:row r="191" ht="44" customHeight="1">
      <x:c r="A191" s="10" t="str">
        <x:v>FMS0401__lifecycle</x:v>
      </x:c>
      <x:c r="B191" s="11" t="str">
        <x:v>FMS0401</x:v>
      </x:c>
      <x:c r="C191" s="11" t="str">
        <x:v>final_multisource_132</x:v>
      </x:c>
      <x:c r="D191" s="11" t="str">
        <x:v>Cochise: A Reference Harness for Autonomous Penetration Testing</x:v>
      </x:c>
      <x:c r="E191" s="11" t="str">
        <x:v>lifecycle coverage</x:v>
      </x:c>
      <x:c r="F191" s="11" t="str">
        <x:v>multi-label</x:v>
      </x:c>
      <x:c r="G191" s="11" t="str">
        <x:v>execution observation;path and input exploration;reporting and audit</x:v>
      </x:c>
      <x:c r="H191" s="11" t="str">
        <x:v>candidate analysis;execution observation;path and input exploration;reporting and audit</x:v>
      </x:c>
      <x:c r="I191" s="11" t="str">
        <x:v>source-linked lead</x:v>
      </x:c>
      <x:c r="J191" s="11" t="str">
        <x:v>https://arxiv.org/pdf/2605.11671 | role p.1; action p.1; feedback p.2; validation p.1; evaluation p.1</x:v>
      </x:c>
      <x:c r="K191" s="11" t="str">
        <x:v>JSON based trajectory log format and includes tools for subsequent agent to a Linux execution host over SSH and supports controlled data analysis of those logs. target environments reachable from that jump host.</x:v>
      </x:c>
      <x:c r="L191" s="16" t="str">
        <x:v>A source-linked excerpt and locator are supplied as review leads for auditability.</x:v>
      </x:c>
      <x:c r="M191" s="16" t="str">
        <x:v>Mark only observable lifecycle actions or outputs. Reporting and audit requires explicit packaging, routing, disclosure, or audit transition; a report name alone is insufficient.</x:v>
      </x:c>
      <x:c r="N191" s="16" t="str">
        <x:v>path and input exploration;execution observation;reporting and audit</x:v>
      </x:c>
      <x:c r="O191" s="16" t="str">
        <x:v>The cited source supports the selected label path and input exploration;execution observation;reporting and audit; only observable workflow actions or outputs were retained.</x:v>
      </x:c>
      <x:c r="P191" s="16" t="str">
        <x:v>https://arxiv.org/pdf/2605.11671 | role p.1; action p.1; feedback p.2; validation p.1; evaluation p.1</x:v>
      </x:c>
      <x:c r="Q191" s="16" t="str">
        <x:v>no</x:v>
      </x:c>
      <x:c r="R191" s="11" t="str"/>
      <x:c r="S191" s="11" t="str">
        <x:v>2026-08-12</x:v>
      </x:c>
      <x:c r="T191" s="18" t="str">
        <x:f>IF(OR(AND(N191="unresolved",LEN(O191)&gt;0,LEN(P191)&gt;0,Q191="yes"),AND(LEN(N191)&gt;0,LEN(O191)&gt;0,LEN(P191)&gt;0,OR(Q191="yes",Q191="no"))),"ready","pending")</x:f>
        <x:v>ready</x:v>
      </x:c>
    </x:row>
    <x:row r="192" ht="44" customHeight="1">
      <x:c r="A192" s="10" t="str">
        <x:v>FMS0401__capability</x:v>
      </x:c>
      <x:c r="B192" s="11" t="str">
        <x:v>FMS0401</x:v>
      </x:c>
      <x:c r="C192" s="11" t="str">
        <x:v>final_multisource_132</x:v>
      </x:c>
      <x:c r="D192" s="11" t="str">
        <x:v>Cochise: A Reference Harness for Autonomous Penetration Testing</x:v>
      </x:c>
      <x:c r="E192" s="11" t="str">
        <x:v>cross-stage capability</x:v>
      </x:c>
      <x:c r="F192" s="11" t="str">
        <x:v>multi-label</x:v>
      </x:c>
      <x:c r="G192" s="11" t="str">
        <x:v>failure reuse / strategy update;feedback interpretation / loop adjustment;governance / human gates / disclosure control;long-horizon state management;tool routing / strategy routing</x:v>
      </x:c>
      <x:c r="H192" s="11" t="str">
        <x:v>context aggregation / rule extraction;feedback interpretation / loop adjustment;long-horizon state management;tool routing / strategy routing;validation organization / evidence packaging</x:v>
      </x:c>
      <x:c r="I192" s="11" t="str">
        <x:v>source-linked lead</x:v>
      </x:c>
      <x:c r="J192" s="11" t="str">
        <x:v>https://arxiv.org/pdf/2605.11671 | role p.1; action p.1; feedback p.2; validation p.1; evaluation p.1</x:v>
      </x:c>
      <x:c r="K192" s="11" t="str">
        <x:v>e-effects. Any interaction of the agent with the environment may produce adverse effects, e.g., invoking an exploit can crash the target system, enumeration actions can trigger intrusion detection systems, or running password-based attacks can result in account lock-outs. In addition, defenses such as automated EDR solutions act as active adversaries, creating attacker/defender setups. To achieve success, agents must cope with these side-effects and must combine findings into s</x:v>
      </x:c>
      <x:c r="L192" s="16" t="str">
        <x:v>A source-linked excerpt and locator are supplied as review leads for auditability.</x:v>
      </x:c>
      <x:c r="M192" s="16" t="str">
        <x:v>Require an explicit cross-stage connection. Information must guide later action; feedback must alter later action; packaging must assemble prior outputs; governance must enforce an actual gate.</x:v>
      </x:c>
      <x:c r="N192" s="16" t="str">
        <x:v>tool routing / strategy routing;feedback interpretation / loop adjustment;long-horizon state management;failure reuse / strategy update;governance / human gates / disclosure control</x:v>
      </x:c>
      <x:c r="O192" s="16" t="str">
        <x:v>The cited source supports the selected label tool routing / strategy routing;feedback interpretation / loop adjustment;long-horizon state management;failure reuse / strategy update;governance / human gates / disclosure control; each retained label requires an explicit connection that guides later action, feedback, packaging, or a gate.</x:v>
      </x:c>
      <x:c r="P192" s="16" t="str">
        <x:v>https://arxiv.org/pdf/2605.11671 | role p.1; action p.1; feedback p.2; validation p.1; evaluation p.1</x:v>
      </x:c>
      <x:c r="Q192" s="16" t="str">
        <x:v>no</x:v>
      </x:c>
      <x:c r="R192" s="11" t="str"/>
      <x:c r="S192" s="11" t="str">
        <x:v>2026-08-12</x:v>
      </x:c>
      <x:c r="T192" s="18" t="str">
        <x:f>IF(OR(AND(N192="unresolved",LEN(O192)&gt;0,LEN(P192)&gt;0,Q192="yes"),AND(LEN(N192)&gt;0,LEN(O192)&gt;0,LEN(P192)&gt;0,OR(Q192="yes",Q192="no"))),"ready","pending")</x:f>
        <x:v>ready</x:v>
      </x:c>
    </x:row>
    <x:row r="193" ht="44" customHeight="1">
      <x:c r="A193" s="10" t="str">
        <x:v>FMS0401__external_traceability</x:v>
      </x:c>
      <x:c r="B193" s="11" t="str">
        <x:v>FMS0401</x:v>
      </x:c>
      <x:c r="C193" s="11" t="str">
        <x:v>final_multisource_132</x:v>
      </x:c>
      <x:c r="D193" s="11" t="str">
        <x:v>Cochise: A Reference Harness for Autonomous Penetration Testing</x:v>
      </x:c>
      <x:c r="E193" s="11" t="str">
        <x:v>external traceability</x:v>
      </x:c>
      <x:c r="F193" s="11" t="str">
        <x:v>single-label</x:v>
      </x:c>
      <x:c r="G193" s="11" t="str">
        <x:v>benchmark ground truth / public material</x:v>
      </x:c>
      <x:c r="H193" s="11" t="str">
        <x:v>no external trace reported</x:v>
      </x:c>
      <x:c r="I193" s="11" t="str">
        <x:v>source-linked lead</x:v>
      </x:c>
      <x:c r="J193" s="11" t="str">
        <x:v>https://arxiv.org/pdf/2605.11671 | role p.1; action p.1; feedback p.2; validation p.1; evaluation p.1</x:v>
      </x:c>
      <x:c r="K193" s="11" t="str">
        <x:v>starting point for new prototypes. It provides a thorough penetration-testing experiments. Cochise connects an LLM-driven JSON based trajectory log format and includes tools for subsequent agent to a Linux execution host over SSH and supports controlled data analysis of those logs. target environments reachable from that jump h</x:v>
      </x:c>
      <x:c r="L193" s="16" t="str">
        <x:v>A source-linked excerpt and locator are supplied as review leads for auditability.</x:v>
      </x:c>
      <x:c r="M193" s="16" t="str">
        <x:v>Code separately from principal output. Only item-level alignment between a concrete system result and a specific public external record qualifies as publicly aligned external trace.</x:v>
      </x:c>
      <x:c r="N193" s="16" t="str">
        <x:v>benchmark ground truth / public material</x:v>
      </x:c>
      <x:c r="O193" s="16" t="str">
        <x:v>The cited source supports the selected label benchmark ground truth / public material under the codebook's item-level public-record alignment criterion.</x:v>
      </x:c>
      <x:c r="P193" s="16" t="str">
        <x:v>https://arxiv.org/pdf/2605.11671 | role p.1; action p.1; feedback p.2; validation p.1; evaluation p.1</x:v>
      </x:c>
      <x:c r="Q193" s="16" t="str">
        <x:v>no</x:v>
      </x:c>
      <x:c r="R193" s="11" t="str"/>
      <x:c r="S193" s="11" t="str">
        <x:v>2026-08-12</x:v>
      </x:c>
      <x:c r="T193" s="18" t="str">
        <x:f>IF(OR(AND(N193="unresolved",LEN(O193)&gt;0,LEN(P193)&gt;0,Q193="yes"),AND(LEN(N193)&gt;0,LEN(O193)&gt;0,LEN(P193)&gt;0,OR(Q193="yes",Q193="no"))),"ready","pending")</x:f>
        <x:v>ready</x:v>
      </x:c>
    </x:row>
    <x:row r="194" ht="44" customHeight="1">
      <x:c r="A194" s="10" t="str">
        <x:v>FMS0435__lifecycle</x:v>
      </x:c>
      <x:c r="B194" s="11" t="str">
        <x:v>FMS0435</x:v>
      </x:c>
      <x:c r="C194" s="11" t="str">
        <x:v>final_multisource_132</x:v>
      </x:c>
      <x:c r="D194" s="11" t="str">
        <x:v>Construction and Evaluation of LLM-based agents for Semi-Autonomous penetration testing</x:v>
      </x:c>
      <x:c r="E194" s="11" t="str">
        <x:v>lifecycle coverage</x:v>
      </x:c>
      <x:c r="F194" s="11" t="str">
        <x:v>multi-label</x:v>
      </x:c>
      <x:c r="G194" s="11" t="str">
        <x:v>execution observation;path and input exploration;reporting and audit</x:v>
      </x:c>
      <x:c r="H194" s="11" t="str">
        <x:v>candidate analysis;execution observation;path and input exploration;reporting and audit</x:v>
      </x:c>
      <x:c r="I194" s="11" t="str">
        <x:v>source-linked lead</x:v>
      </x:c>
      <x:c r="J194" s="11" t="str">
        <x:v>https://arxiv.org/pdf/2502.15506 | role p.1; action p.1; feedback p.2; evaluation p.1</x:v>
      </x:c>
      <x:c r="K194" s="11" t="str">
        <x:v>focus on penetration testing and explore methods for the limitations of LLMs in reasoning capabilities leveraging LLMs to achieve semi-autonomy. Research on</x:v>
      </x:c>
      <x:c r="L194" s="16" t="str">
        <x:v>A source-linked excerpt and locator are supplied as review leads for auditability.</x:v>
      </x:c>
      <x:c r="M194" s="16" t="str">
        <x:v>Mark only observable lifecycle actions or outputs. Reporting and audit requires explicit packaging, routing, disclosure, or audit transition; a report name alone is insufficient.</x:v>
      </x:c>
      <x:c r="N194" s="16" t="str">
        <x:v>path and input exploration;execution observation;reporting and audit</x:v>
      </x:c>
      <x:c r="O194" s="16" t="str">
        <x:v>The cited source supports the selected label path and input exploration;execution observation;reporting and audit; only observable workflow actions or outputs were retained.</x:v>
      </x:c>
      <x:c r="P194" s="16" t="str">
        <x:v>https://arxiv.org/pdf/2502.15506 | role p.1; action p.1; feedback p.2; evaluation p.1</x:v>
      </x:c>
      <x:c r="Q194" s="16" t="str">
        <x:v>no</x:v>
      </x:c>
      <x:c r="R194" s="11" t="str"/>
      <x:c r="S194" s="11" t="str">
        <x:v>2026-08-12</x:v>
      </x:c>
      <x:c r="T194" s="18" t="str">
        <x:f>IF(OR(AND(N194="unresolved",LEN(O194)&gt;0,LEN(P194)&gt;0,Q194="yes"),AND(LEN(N194)&gt;0,LEN(O194)&gt;0,LEN(P194)&gt;0,OR(Q194="yes",Q194="no"))),"ready","pending")</x:f>
        <x:v>ready</x:v>
      </x:c>
    </x:row>
    <x:row r="195" ht="44" customHeight="1">
      <x:c r="A195" s="10" t="str">
        <x:v>FMS0435__capability</x:v>
      </x:c>
      <x:c r="B195" s="11" t="str">
        <x:v>FMS0435</x:v>
      </x:c>
      <x:c r="C195" s="11" t="str">
        <x:v>final_multisource_132</x:v>
      </x:c>
      <x:c r="D195" s="11" t="str">
        <x:v>Construction and Evaluation of LLM-based agents for Semi-Autonomous penetration testing</x:v>
      </x:c>
      <x:c r="E195" s="11" t="str">
        <x:v>cross-stage capability</x:v>
      </x:c>
      <x:c r="F195" s="11" t="str">
        <x:v>multi-label</x:v>
      </x:c>
      <x:c r="G195" s="11" t="str">
        <x:v>context aggregation / rule extraction;failure reuse / strategy update;feedback interpretation / loop adjustment;long-horizon state management;tool routing / strategy routing</x:v>
      </x:c>
      <x:c r="H195" s="11" t="str">
        <x:v>context aggregation / rule extraction;feedback interpretation / loop adjustment;governance / human gates / disclosure control;long-horizon state management;tool routing / strategy routing;validation organization / evidence packaging</x:v>
      </x:c>
      <x:c r="I195" s="11" t="str">
        <x:v>source-linked lead</x:v>
      </x:c>
      <x:c r="J195" s="11" t="str">
        <x:v>https://arxiv.org/pdf/2502.15506 | role p.1; action p.1; feedback p.2; evaluation p.1</x:v>
      </x:c>
      <x:c r="K195" s="11" t="str">
        <x:v>(Madaan et al., 2023) en- execution. The system is designed to be independent of ables an LLM to generate feedback on its initial output and specific environments, enabling penetration testing using iteratively refine it on the basis of that feedback. Addi- tools executable on the Kali Linux command line. tionally, ReAct (Yao et al., 2023) is a prompting method that alternates between reasoning and action generation, en- 3.2. Planning Mo</x:v>
      </x:c>
      <x:c r="L195" s="16" t="str">
        <x:v>A source-linked excerpt and locator are supplied as review leads for auditability.</x:v>
      </x:c>
      <x:c r="M195" s="16" t="str">
        <x:v>Require an explicit cross-stage connection. Information must guide later action; feedback must alter later action; packaging must assemble prior outputs; governance must enforce an actual gate.</x:v>
      </x:c>
      <x:c r="N195" s="16" t="str">
        <x:v>context aggregation / rule extraction;tool routing / strategy routing;feedback interpretation / loop adjustment;long-horizon state management;failure reuse / strategy update</x:v>
      </x:c>
      <x:c r="O195" s="16" t="str">
        <x:v>The cited source supports the selected label context aggregation / rule extraction;tool routing / strategy routing;feedback interpretation / loop adjustment;long-horizon state management;failure reuse / strategy update; each retained label requires an explicit connection that guides later action, feedback, packaging, or a gate.</x:v>
      </x:c>
      <x:c r="P195" s="16" t="str">
        <x:v>https://arxiv.org/pdf/2502.15506 | role p.1; action p.1; feedback p.2; evaluation p.1</x:v>
      </x:c>
      <x:c r="Q195" s="16" t="str">
        <x:v>no</x:v>
      </x:c>
      <x:c r="R195" s="11" t="str"/>
      <x:c r="S195" s="11" t="str">
        <x:v>2026-08-12</x:v>
      </x:c>
      <x:c r="T195" s="18" t="str">
        <x:f>IF(OR(AND(N195="unresolved",LEN(O195)&gt;0,LEN(P195)&gt;0,Q195="yes"),AND(LEN(N195)&gt;0,LEN(O195)&gt;0,LEN(P195)&gt;0,OR(Q195="yes",Q195="no"))),"ready","pending")</x:f>
        <x:v>ready</x:v>
      </x:c>
    </x:row>
    <x:row r="196" ht="44" customHeight="1">
      <x:c r="A196" s="10" t="str">
        <x:v>FMS0435__external_traceability</x:v>
      </x:c>
      <x:c r="B196" s="11" t="str">
        <x:v>FMS0435</x:v>
      </x:c>
      <x:c r="C196" s="11" t="str">
        <x:v>final_multisource_132</x:v>
      </x:c>
      <x:c r="D196" s="11" t="str">
        <x:v>Construction and Evaluation of LLM-based agents for Semi-Autonomous penetration testing</x:v>
      </x:c>
      <x:c r="E196" s="11" t="str">
        <x:v>external traceability</x:v>
      </x:c>
      <x:c r="F196" s="11" t="str">
        <x:v>single-label</x:v>
      </x:c>
      <x:c r="G196" s="11" t="str">
        <x:v>benchmark ground truth / public material</x:v>
      </x:c>
      <x:c r="H196" s="11" t="str">
        <x:v>no external trace reported</x:v>
      </x:c>
      <x:c r="I196" s="11" t="str">
        <x:v>source-linked lead</x:v>
      </x:c>
      <x:c r="J196" s="11" t="str">
        <x:v>https://arxiv.org/pdf/2502.15506 | role p.1; action p.1; feedback p.2; evaluation p.1</x:v>
      </x:c>
      <x:c r="K196" s="11" t="str">
        <x:v>Construction and Evaluation of LLM-based agents for Semi-Autonomous penetration testing Masaya Kobayashi 1 Masane Fuchi 1 Amar Zanashir 2 Tomonori Yoneda 2 Tomohiro Takagi 1 Abstract</x:v>
      </x:c>
      <x:c r="L196" s="16" t="str">
        <x:v>A source-linked excerpt and locator are supplied as review leads for auditability.</x:v>
      </x:c>
      <x:c r="M196" s="16" t="str">
        <x:v>Code separately from principal output. Only item-level alignment between a concrete system result and a specific public external record qualifies as publicly aligned external trace.</x:v>
      </x:c>
      <x:c r="N196" s="16" t="str">
        <x:v>benchmark ground truth / public material</x:v>
      </x:c>
      <x:c r="O196" s="16" t="str">
        <x:v>The cited source supports the selected label benchmark ground truth / public material under the codebook's item-level public-record alignment criterion.</x:v>
      </x:c>
      <x:c r="P196" s="16" t="str">
        <x:v>https://arxiv.org/pdf/2502.15506 | role p.1; action p.1; feedback p.2; evaluation p.1</x:v>
      </x:c>
      <x:c r="Q196" s="16" t="str">
        <x:v>no</x:v>
      </x:c>
      <x:c r="R196" s="11" t="str"/>
      <x:c r="S196" s="11" t="str">
        <x:v>2026-08-12</x:v>
      </x:c>
      <x:c r="T196" s="18" t="str">
        <x:f>IF(OR(AND(N196="unresolved",LEN(O196)&gt;0,LEN(P196)&gt;0,Q196="yes"),AND(LEN(N196)&gt;0,LEN(O196)&gt;0,LEN(P196)&gt;0,OR(Q196="yes",Q196="no"))),"ready","pending")</x:f>
        <x:v>ready</x:v>
      </x:c>
    </x:row>
    <x:row r="197" ht="44" customHeight="1">
      <x:c r="A197" s="10" t="str">
        <x:v>FMS0489__lifecycle</x:v>
      </x:c>
      <x:c r="B197" s="11" t="str">
        <x:v>FMS0489</x:v>
      </x:c>
      <x:c r="C197" s="11" t="str">
        <x:v>final_multisource_132</x:v>
      </x:c>
      <x:c r="D197" s="11" t="str">
        <x:v>CVE-Bench: Benchmarking LLM-based Software Engineering Agent’s Ability to Repair Real-World CVE Vulnerabilities</x:v>
      </x:c>
      <x:c r="E197" s="11" t="str">
        <x:v>lifecycle coverage</x:v>
      </x:c>
      <x:c r="F197" s="11" t="str">
        <x:v>multi-label</x:v>
      </x:c>
      <x:c r="G197" s="11" t="str">
        <x:v>candidate analysis;patch validation;reporting and audit</x:v>
      </x:c>
      <x:c r="H197" s="11" t="str">
        <x:v>candidate analysis;execution observation;patch validation;path and input exploration;reporting and audit;reproduction and validation</x:v>
      </x:c>
      <x:c r="I197" s="11" t="str">
        <x:v>source-linked lead</x:v>
      </x:c>
      <x:c r="J197" s="11" t="str">
        <x:v>https://aclanthology.org/2025.naacl-long.212.pdf | role p.1; action p.1; feedback p.2; validation p.3; evaluation p.1</x:v>
      </x:c>
      <x:c r="K197" s="11" t="str">
        <x:v>ated solution. modeling, such as black-box testing and white- On the other hand, Large language models box testing. It enables the agents to use static (LLMs) agents have been used for software devel- analysis tools to assist their repair process. Our opment (Chen et al., 2021; Austin et al., 2021; Jain</x:v>
      </x:c>
      <x:c r="L197" s="16" t="str">
        <x:v>A source-linked excerpt and locator are supplied as review leads for auditability.</x:v>
      </x:c>
      <x:c r="M197" s="16" t="str">
        <x:v>Mark only observable lifecycle actions or outputs. Reporting and audit requires explicit packaging, routing, disclosure, or audit transition; a report name alone is insufficient.</x:v>
      </x:c>
      <x:c r="N197" s="16" t="str">
        <x:v>candidate analysis;patch validation;reporting and audit</x:v>
      </x:c>
      <x:c r="O197" s="16" t="str">
        <x:v>The cited source supports the selected label candidate analysis;patch validation;reporting and audit; only observable workflow actions or outputs were retained.</x:v>
      </x:c>
      <x:c r="P197" s="16" t="str">
        <x:v>https://aclanthology.org/2025.naacl-long.212.pdf | role p.1; action p.1; feedback p.2; validation p.3; evaluation p.1</x:v>
      </x:c>
      <x:c r="Q197" s="16" t="str">
        <x:v>no</x:v>
      </x:c>
      <x:c r="R197" s="11" t="str"/>
      <x:c r="S197" s="11" t="str">
        <x:v>2026-08-12</x:v>
      </x:c>
      <x:c r="T197" s="18" t="str">
        <x:f>IF(OR(AND(N197="unresolved",LEN(O197)&gt;0,LEN(P197)&gt;0,Q197="yes"),AND(LEN(N197)&gt;0,LEN(O197)&gt;0,LEN(P197)&gt;0,OR(Q197="yes",Q197="no"))),"ready","pending")</x:f>
        <x:v>ready</x:v>
      </x:c>
    </x:row>
    <x:row r="198" ht="44" customHeight="1">
      <x:c r="A198" s="10" t="str">
        <x:v>FMS0489__capability</x:v>
      </x:c>
      <x:c r="B198" s="11" t="str">
        <x:v>FMS0489</x:v>
      </x:c>
      <x:c r="C198" s="11" t="str">
        <x:v>final_multisource_132</x:v>
      </x:c>
      <x:c r="D198" s="11" t="str">
        <x:v>CVE-Bench: Benchmarking LLM-based Software Engineering Agent’s Ability to Repair Real-World CVE Vulnerabilities</x:v>
      </x:c>
      <x:c r="E198" s="11" t="str">
        <x:v>cross-stage capability</x:v>
      </x:c>
      <x:c r="F198" s="11" t="str">
        <x:v>multi-label</x:v>
      </x:c>
      <x:c r="G198" s="11" t="str">
        <x:v>context aggregation / rule extraction;failure reuse / strategy update;feedback interpretation / loop adjustment;long-horizon state management;tool routing / strategy routing;validation organization / evidence packaging</x:v>
      </x:c>
      <x:c r="H198" s="11" t="str">
        <x:v>context aggregation / rule extraction;feedback interpretation / loop adjustment;tool routing / strategy routing;validation organization / evidence packaging</x:v>
      </x:c>
      <x:c r="I198" s="11" t="str">
        <x:v>source-linked lead</x:v>
      </x:c>
      <x:c r="J198" s="11" t="str">
        <x:v>https://aclanthology.org/2025.naacl-long.212.pdf | role p.1; action p.1; feedback p.2; validation p.3; evaluation p.1</x:v>
      </x:c>
      <x:c r="K198" s="11" t="str">
        <x:v>on, programming environments. Such an environment Java, JavaScript, and PHP). The selected CVEs can provide feedback to the agent using the come from 120 open-source GitHub repositories, interpreter to fix vulnerabilities. with at least 5000 stars for each repository. Over 16 (2) CVE-Bench supports tool-using. In real- types of CWEs are included in the collected CVEs. world vulnerability repair settings, developers can</x:v>
      </x:c>
      <x:c r="L198" s="16" t="str">
        <x:v>A source-linked excerpt and locator are supplied as review leads for auditability.</x:v>
      </x:c>
      <x:c r="M198" s="16" t="str">
        <x:v>Require an explicit cross-stage connection. Information must guide later action; feedback must alter later action; packaging must assemble prior outputs; governance must enforce an actual gate.</x:v>
      </x:c>
      <x:c r="N198" s="16" t="str">
        <x:v>context aggregation / rule extraction;tool routing / strategy routing;feedback interpretation / loop adjustment;validation organization / evidence packaging;long-horizon state management;failure reuse / strategy update</x:v>
      </x:c>
      <x:c r="O198"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198" s="16" t="str">
        <x:v>https://aclanthology.org/2025.naacl-long.212.pdf | role p.1; action p.1; feedback p.2; validation p.3; evaluation p.1</x:v>
      </x:c>
      <x:c r="Q198" s="16" t="str">
        <x:v>no</x:v>
      </x:c>
      <x:c r="R198" s="11" t="str"/>
      <x:c r="S198" s="11" t="str">
        <x:v>2026-08-12</x:v>
      </x:c>
      <x:c r="T198" s="18" t="str">
        <x:f>IF(OR(AND(N198="unresolved",LEN(O198)&gt;0,LEN(P198)&gt;0,Q198="yes"),AND(LEN(N198)&gt;0,LEN(O198)&gt;0,LEN(P198)&gt;0,OR(Q198="yes",Q198="no"))),"ready","pending")</x:f>
        <x:v>ready</x:v>
      </x:c>
    </x:row>
    <x:row r="199" ht="44" customHeight="1">
      <x:c r="A199" s="10" t="str">
        <x:v>FMS0500__lifecycle</x:v>
      </x:c>
      <x:c r="B199" s="11" t="str">
        <x:v>FMS0500</x:v>
      </x:c>
      <x:c r="C199" s="11" t="str">
        <x:v>final_multisource_132</x:v>
      </x:c>
      <x:c r="D199" s="11" t="str">
        <x:v>D-CIPHER: Dynamic Collaborative Intelligent Multi-Agent System with Planner and Heterogeneous Executors for Offensive Security</x:v>
      </x:c>
      <x:c r="E199" s="11" t="str">
        <x:v>lifecycle coverage</x:v>
      </x:c>
      <x:c r="F199" s="11" t="str">
        <x:v>multi-label</x:v>
      </x:c>
      <x:c r="G199" s="11" t="str">
        <x:v>execution observation;path and input exploration;reporting and audit</x:v>
      </x:c>
      <x:c r="H199" s="11" t="str">
        <x:v>candidate analysis;execution observation;path and input exploration;reporting and audit</x:v>
      </x:c>
      <x:c r="I199" s="11" t="str">
        <x:v>source-linked lead</x:v>
      </x:c>
      <x:c r="J199" s="11" t="str">
        <x:v>https://arxiv.org/pdf/2502.10931 | role p.1; action p.1; feedback p.1; evaluation p.1</x:v>
      </x:c>
      <x:c r="K199" s="11" t="str">
        <x:v>D-CIPHER: Dynamic Collaborative Intelligent Multi-Agent System with Planner and Heterogeneous Executors for Offensive Security</x:v>
      </x:c>
      <x:c r="L199" s="16" t="str">
        <x:v>A source-linked excerpt and locator are supplied as review leads for auditability.</x:v>
      </x:c>
      <x:c r="M199" s="16" t="str">
        <x:v>Mark only observable lifecycle actions or outputs. Reporting and audit requires explicit packaging, routing, disclosure, or audit transition; a report name alone is insufficient.</x:v>
      </x:c>
      <x:c r="N199" s="16" t="str">
        <x:v>path and input exploration;execution observation;reporting and audit</x:v>
      </x:c>
      <x:c r="O199" s="16" t="str">
        <x:v>The cited source supports the selected label path and input exploration;execution observation;reporting and audit; only observable workflow actions or outputs were retained.</x:v>
      </x:c>
      <x:c r="P199" s="16" t="str">
        <x:v>https://arxiv.org/pdf/2502.10931 | role p.1; action p.1; feedback p.1; evaluation p.1</x:v>
      </x:c>
      <x:c r="Q199" s="16" t="str">
        <x:v>no</x:v>
      </x:c>
      <x:c r="R199" s="11" t="str"/>
      <x:c r="S199" s="11" t="str">
        <x:v>2026-08-12</x:v>
      </x:c>
      <x:c r="T199" s="18" t="str">
        <x:f>IF(OR(AND(N199="unresolved",LEN(O199)&gt;0,LEN(P199)&gt;0,Q199="yes"),AND(LEN(N199)&gt;0,LEN(O199)&gt;0,LEN(P199)&gt;0,OR(Q199="yes",Q199="no"))),"ready","pending")</x:f>
        <x:v>ready</x:v>
      </x:c>
    </x:row>
    <x:row r="200" ht="44" customHeight="1">
      <x:c r="A200" s="10" t="str">
        <x:v>FMS0500__capability</x:v>
      </x:c>
      <x:c r="B200" s="11" t="str">
        <x:v>FMS0500</x:v>
      </x:c>
      <x:c r="C200" s="11" t="str">
        <x:v>final_multisource_132</x:v>
      </x:c>
      <x:c r="D200" s="11" t="str">
        <x:v>D-CIPHER: Dynamic Collaborative Intelligent Multi-Agent System with Planner and Heterogeneous Executors for Offensive Security</x:v>
      </x:c>
      <x:c r="E200" s="11" t="str">
        <x:v>cross-stage capability</x:v>
      </x:c>
      <x:c r="F200" s="11" t="str">
        <x:v>multi-label</x:v>
      </x:c>
      <x:c r="G200" s="11" t="str">
        <x:v>context aggregation / rule extraction;failure reuse / strategy update;feedback interpretation / loop adjustment;long-horizon state management;tool routing / strategy routing</x:v>
      </x:c>
      <x:c r="H200" s="11" t="str">
        <x:v>context aggregation / rule extraction;failure reuse / strategy update;feedback interpretation / loop adjustment;long-horizon state management;tool routing / strategy routing;validation organization / evidence packaging</x:v>
      </x:c>
      <x:c r="I200" s="11" t="str">
        <x:v>source-linked lead</x:v>
      </x:c>
      <x:c r="J200" s="11" t="str">
        <x:v>https://arxiv.org/pdf/2502.10931 | role p.1; action p.1; feedback p.1; evaluation p.1</x:v>
      </x:c>
      <x:c r="K200" s="11" t="str">
        <x:v>ative CTF solving. D-CIPHER integrates agents with distinct roles with dynamic feedback loops to enhance reasoning run command, create file, reverse engineer Server on complex tasks. It introduces the Planner-Executor agent system, consisting of a Planner agent for overall problem- Fig. 1. O</x:v>
      </x:c>
      <x:c r="L200" s="16" t="str">
        <x:v>A source-linked excerpt and locator are supplied as review leads for auditability.</x:v>
      </x:c>
      <x:c r="M200" s="16" t="str">
        <x:v>Require an explicit cross-stage connection. Information must guide later action; feedback must alter later action; packaging must assemble prior outputs; governance must enforce an actual gate.</x:v>
      </x:c>
      <x:c r="N200" s="16" t="str">
        <x:v>context aggregation / rule extraction;tool routing / strategy routing;feedback interpretation / loop adjustment;long-horizon state management;failure reuse / strategy update</x:v>
      </x:c>
      <x:c r="O200" s="16" t="str">
        <x:v>The cited source supports the selected label context aggregation / rule extraction;tool routing / strategy routing;feedback interpretation / loop adjustment;long-horizon state management;failure reuse / strategy update; each retained label requires an explicit connection that guides later action, feedback, packaging, or a gate.</x:v>
      </x:c>
      <x:c r="P200" s="16" t="str">
        <x:v>https://arxiv.org/pdf/2502.10931 | role p.1; action p.1; feedback p.1; evaluation p.1</x:v>
      </x:c>
      <x:c r="Q200" s="16" t="str">
        <x:v>no</x:v>
      </x:c>
      <x:c r="R200" s="11" t="str"/>
      <x:c r="S200" s="11" t="str">
        <x:v>2026-08-12</x:v>
      </x:c>
      <x:c r="T200" s="18" t="str">
        <x:f>IF(OR(AND(N200="unresolved",LEN(O200)&gt;0,LEN(P200)&gt;0,Q200="yes"),AND(LEN(N200)&gt;0,LEN(O200)&gt;0,LEN(P200)&gt;0,OR(Q200="yes",Q200="no"))),"ready","pending")</x:f>
        <x:v>ready</x:v>
      </x:c>
    </x:row>
    <x:row r="201" ht="44" customHeight="1">
      <x:c r="A201" s="10" t="str">
        <x:v>FMS0509__lifecycle</x:v>
      </x:c>
      <x:c r="B201" s="11" t="str">
        <x:v>FMS0509</x:v>
      </x:c>
      <x:c r="C201" s="11" t="str">
        <x:v>final_multisource_132</x:v>
      </x:c>
      <x:c r="D201" s="11" t="str">
        <x:v>Decoupling Reconnaissance and Exploitation: Measuring the Capability Boundaries of LLM-Based Web Penetration Testing</x:v>
      </x:c>
      <x:c r="E201" s="11" t="str">
        <x:v>lifecycle coverage</x:v>
      </x:c>
      <x:c r="F201" s="11" t="str">
        <x:v>multi-label</x:v>
      </x:c>
      <x:c r="G201" s="11" t="str">
        <x:v>candidate analysis;execution observation;path and input exploration;reproduction and validation</x:v>
      </x:c>
      <x:c r="H201" s="11" t="str">
        <x:v>candidate analysis;execution observation;path and input exploration;reporting and audit</x:v>
      </x:c>
      <x:c r="I201" s="11" t="str">
        <x:v>source-linked lead</x:v>
      </x:c>
      <x:c r="J201" s="11" t="str">
        <x:v>https://arxiv.org/pdf/2606.25332 | role p.1; action p.1; feedback p.3; validation p.2; evaluation p.1</x:v>
      </x:c>
      <x:c r="K201" s="11" t="str">
        <x:v>- guage Models, Decoupled Evaluation, Ground-Truth Injection 1 Introduction Recent advances in Large Language Models (LLMs) for code generation and logical reasoning have accelerated the development of autonomous cybersecurity systems. Prior work, such as PentestGPT [1] has shown t</x:v>
      </x:c>
      <x:c r="L201" s="16" t="str">
        <x:v>A source-linked excerpt and locator are supplied as review leads for auditability.</x:v>
      </x:c>
      <x:c r="M201" s="16" t="str">
        <x:v>Mark only observable lifecycle actions or outputs. Reporting and audit requires explicit packaging, routing, disclosure, or audit transition; a report name alone is insufficient.</x:v>
      </x:c>
      <x:c r="N201" s="16" t="str">
        <x:v>candidate analysis;path and input exploration;execution observation;reproduction and validation</x:v>
      </x:c>
      <x:c r="O201" s="16" t="str">
        <x:v>The cited source supports the selected label candidate analysis;path and input exploration;execution observation;reproduction and validation; only observable workflow actions or outputs were retained.</x:v>
      </x:c>
      <x:c r="P201" s="16" t="str">
        <x:v>https://arxiv.org/pdf/2606.25332 | role p.1; action p.1; feedback p.3; validation p.2; evaluation p.1</x:v>
      </x:c>
      <x:c r="Q201" s="16" t="str">
        <x:v>no</x:v>
      </x:c>
      <x:c r="R201" s="11" t="str"/>
      <x:c r="S201" s="11" t="str">
        <x:v>2026-08-12</x:v>
      </x:c>
      <x:c r="T201" s="18" t="str">
        <x:f>IF(OR(AND(N201="unresolved",LEN(O201)&gt;0,LEN(P201)&gt;0,Q201="yes"),AND(LEN(N201)&gt;0,LEN(O201)&gt;0,LEN(P201)&gt;0,OR(Q201="yes",Q201="no"))),"ready","pending")</x:f>
        <x:v>ready</x:v>
      </x:c>
    </x:row>
    <x:row r="202" ht="44" customHeight="1">
      <x:c r="A202" s="10" t="str">
        <x:v>FMS0538__lifecycle</x:v>
      </x:c>
      <x:c r="B202" s="11" t="str">
        <x:v>FMS0538</x:v>
      </x:c>
      <x:c r="C202" s="11" t="str">
        <x:v>final_multisource_132</x:v>
      </x:c>
      <x:c r="D202" s="11" t="str">
        <x:v>Diffploit: Facilitating Cross-Version Exploit Migration for Open Source Library Vulnerabilities</x:v>
      </x:c>
      <x:c r="E202" s="11" t="str">
        <x:v>lifecycle coverage</x:v>
      </x:c>
      <x:c r="F202" s="11" t="str">
        <x:v>multi-label</x:v>
      </x:c>
      <x:c r="G202" s="11" t="str">
        <x:v>candidate analysis;execution observation;reproduction and validation</x:v>
      </x:c>
      <x:c r="H202" s="11" t="str">
        <x:v>candidate analysis;execution observation;patch validation;path and input exploration;reporting and audit;reproduction and validation</x:v>
      </x:c>
      <x:c r="I202" s="11" t="str">
        <x:v>source-linked lead</x:v>
      </x:c>
      <x:c r="J202" s="11" t="str">
        <x:v>https://arxiv.org/pdf/2511.12950 | role p.3; action p.1; feedback p.1; validation p.1; evaluation p.1</x:v>
      </x:c>
      <x:c r="K202" s="11" t="str">
        <x:v>s context encapsulates the failure symptom, its corresponding of the target versions. Furthermore, in earlier versions, LLMs fre- diagnostic key, and the associated code-level differences that may quently fail to generate valid API calls due to the lack of correspond- either underlie or assist in resolving the failure</x:v>
      </x:c>
      <x:c r="L202" s="16" t="str">
        <x:v>A source-linked excerpt and locator are supplied as review leads for auditability.</x:v>
      </x:c>
      <x:c r="M202" s="16" t="str">
        <x:v>Mark only observable lifecycle actions or outputs. Reporting and audit requires explicit packaging, routing, disclosure, or audit transition; a report name alone is insufficient.</x:v>
      </x:c>
      <x:c r="N202" s="16" t="str">
        <x:v>candidate analysis;execution observation;reproduction and validation</x:v>
      </x:c>
      <x:c r="O202" s="16" t="str">
        <x:v>The cited source supports the selected label candidate analysis;execution observation;reproduction and validation; only observable workflow actions or outputs were retained.</x:v>
      </x:c>
      <x:c r="P202" s="16" t="str">
        <x:v>https://arxiv.org/pdf/2511.12950 | role p.3; action p.1; feedback p.1; validation p.1; evaluation p.1</x:v>
      </x:c>
      <x:c r="Q202" s="16" t="str">
        <x:v>no</x:v>
      </x:c>
      <x:c r="R202" s="11" t="str"/>
      <x:c r="S202" s="11" t="str">
        <x:v>2026-08-12</x:v>
      </x:c>
      <x:c r="T202" s="18" t="str">
        <x:f>IF(OR(AND(N202="unresolved",LEN(O202)&gt;0,LEN(P202)&gt;0,Q202="yes"),AND(LEN(N202)&gt;0,LEN(O202)&gt;0,LEN(P202)&gt;0,OR(Q202="yes",Q202="no"))),"ready","pending")</x:f>
        <x:v>ready</x:v>
      </x:c>
    </x:row>
    <x:row r="203" ht="44" customHeight="1">
      <x:c r="A203" s="10" t="str">
        <x:v>FMS0538__capability</x:v>
      </x:c>
      <x:c r="B203" s="11" t="str">
        <x:v>FMS0538</x:v>
      </x:c>
      <x:c r="C203" s="11" t="str">
        <x:v>final_multisource_132</x:v>
      </x:c>
      <x:c r="D203" s="11" t="str">
        <x:v>Diffploit: Facilitating Cross-Version Exploit Migration for Open Source Library Vulnerabilities</x:v>
      </x:c>
      <x:c r="E203" s="11" t="str">
        <x:v>cross-stage capability</x:v>
      </x:c>
      <x:c r="F203" s="11" t="str">
        <x:v>multi-label</x:v>
      </x:c>
      <x:c r="G203" s="11" t="str">
        <x:v>context aggregation / rule extraction;failure reuse / strategy update;feedback interpretation / loop adjustment;long-horizon state management;tool routing / strategy routing;validation organization / evidence packaging</x:v>
      </x:c>
      <x:c r="H203" s="11" t="str">
        <x:v>context aggregation / rule extraction;failure reuse / strategy update;feedback interpretation / loop adjustment;tool routing / strategy routing;validation organization / evidence packaging</x:v>
      </x:c>
      <x:c r="I203" s="11" t="str">
        <x:v>source-linked lead</x:v>
      </x:c>
      <x:c r="J203" s="11" t="str">
        <x:v>https://arxiv.org/pdf/2511.12950 | role p.3; action p.1; feedback p.1; validation p.1; evaluation p.1</x:v>
      </x:c>
      <x:c r="K203" s="11" t="str">
        <x:v>its are typically crafted for the version in which tation through an iterative feedback loop, balancing exploration the vulnerability was originally reported and do not generalize of diff candidates and gradual refinement to resolve reproduction across other affected versions. These failures often result from failures effectively. We evaluate Diffplo</x:v>
      </x:c>
      <x:c r="L203" s="16" t="str">
        <x:v>A source-linked excerpt and locator are supplied as review leads for auditability.</x:v>
      </x:c>
      <x:c r="M203" s="16" t="str">
        <x:v>Require an explicit cross-stage connection. Information must guide later action; feedback must alter later action; packaging must assemble prior outputs; governance must enforce an actual gate.</x:v>
      </x:c>
      <x:c r="N203" s="16" t="str">
        <x:v>context aggregation / rule extraction;tool routing / strategy routing;feedback interpretation / loop adjustment;validation organization / evidence packaging;long-horizon state management;failure reuse / strategy update</x:v>
      </x:c>
      <x:c r="O203"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203" s="16" t="str">
        <x:v>https://arxiv.org/pdf/2511.12950 | role p.3; action p.1; feedback p.1; validation p.1; evaluation p.1</x:v>
      </x:c>
      <x:c r="Q203" s="16" t="str">
        <x:v>no</x:v>
      </x:c>
      <x:c r="R203" s="11" t="str"/>
      <x:c r="S203" s="11" t="str">
        <x:v>2026-08-12</x:v>
      </x:c>
      <x:c r="T203" s="18" t="str">
        <x:f>IF(OR(AND(N203="unresolved",LEN(O203)&gt;0,LEN(P203)&gt;0,Q203="yes"),AND(LEN(N203)&gt;0,LEN(O203)&gt;0,LEN(P203)&gt;0,OR(Q203="yes",Q203="no"))),"ready","pending")</x:f>
        <x:v>ready</x:v>
      </x:c>
    </x:row>
    <x:row r="204" ht="44" customHeight="1">
      <x:c r="A204" s="10" t="str">
        <x:v>FMS0541__lifecycle</x:v>
      </x:c>
      <x:c r="B204" s="11" t="str">
        <x:v>FMS0541</x:v>
      </x:c>
      <x:c r="C204" s="11" t="str">
        <x:v>final_multisource_132</x:v>
      </x:c>
      <x:c r="D204" s="11" t="str">
        <x:v>Directed Symbolic Execution for Vulnerability Discovery: An LLM-Guided Approach in KLEE</x:v>
      </x:c>
      <x:c r="E204" s="11" t="str">
        <x:v>lifecycle coverage</x:v>
      </x:c>
      <x:c r="F204" s="11" t="str">
        <x:v>multi-label</x:v>
      </x:c>
      <x:c r="G204" s="11" t="str">
        <x:v>candidate analysis;execution observation;path and input exploration;reproduction and validation</x:v>
      </x:c>
      <x:c r="H204" s="11" t="str">
        <x:v>execution observation;path and input exploration</x:v>
      </x:c>
      <x:c r="I204" s="11" t="str">
        <x:v>source-linked lead</x:v>
      </x:c>
      <x:c r="J204" s="11" t="str">
        <x:v>https://arxiv.org/pdf/2607.21676 | role p.1; action p.1; feedback p.1; validation p.2; evaluation p.3</x:v>
      </x:c>
      <x:c r="K204" s="11" t="str">
        <x:v>s vulnerable code beyond these cyclic regions. We propose KLEECopilot, a Large Language Model (LLM)-guided directed symbolic execution approach built on KLEE. KLEECopilot uses LLMs to mark potentially vulnerable code and guide path prioritization. It also integrates loop-exit prioritization to escape potentially non-v</x:v>
      </x:c>
      <x:c r="L204" s="16" t="str">
        <x:v>A source-linked excerpt and locator are supplied as review leads for auditability.</x:v>
      </x:c>
      <x:c r="M204" s="16" t="str">
        <x:v>Mark only observable lifecycle actions or outputs. Reporting and audit requires explicit packaging, routing, disclosure, or audit transition; a report name alone is insufficient.</x:v>
      </x:c>
      <x:c r="N204" s="16" t="str">
        <x:v>candidate analysis;path and input exploration;execution observation;reproduction and validation</x:v>
      </x:c>
      <x:c r="O204" s="16" t="str">
        <x:v>The cited source supports the selected label candidate analysis;path and input exploration;execution observation;reproduction and validation; only observable workflow actions or outputs were retained.</x:v>
      </x:c>
      <x:c r="P204" s="16" t="str">
        <x:v>https://arxiv.org/pdf/2607.21676 | role p.1; action p.1; feedback p.1; validation p.2; evaluation p.3</x:v>
      </x:c>
      <x:c r="Q204" s="16" t="str">
        <x:v>no</x:v>
      </x:c>
      <x:c r="R204" s="11" t="str"/>
      <x:c r="S204" s="11" t="str">
        <x:v>2026-08-12</x:v>
      </x:c>
      <x:c r="T204" s="18" t="str">
        <x:f>IF(OR(AND(N204="unresolved",LEN(O204)&gt;0,LEN(P204)&gt;0,Q204="yes"),AND(LEN(N204)&gt;0,LEN(O204)&gt;0,LEN(P204)&gt;0,OR(Q204="yes",Q204="no"))),"ready","pending")</x:f>
        <x:v>ready</x:v>
      </x:c>
    </x:row>
    <x:row r="205" ht="44" customHeight="1">
      <x:c r="A205" s="10" t="str">
        <x:v>FMS0541__capability</x:v>
      </x:c>
      <x:c r="B205" s="11" t="str">
        <x:v>FMS0541</x:v>
      </x:c>
      <x:c r="C205" s="11" t="str">
        <x:v>final_multisource_132</x:v>
      </x:c>
      <x:c r="D205" s="11" t="str">
        <x:v>Directed Symbolic Execution for Vulnerability Discovery: An LLM-Guided Approach in KLEE</x:v>
      </x:c>
      <x:c r="E205" s="11" t="str">
        <x:v>cross-stage capability</x:v>
      </x:c>
      <x:c r="F205" s="11" t="str">
        <x:v>multi-label</x:v>
      </x:c>
      <x:c r="G205" s="11" t="str">
        <x:v>context aggregation / rule extraction;failure reuse / strategy update;feedback interpretation / loop adjustment;tool routing / strategy routing;validation organization / evidence packaging</x:v>
      </x:c>
      <x:c r="H205" s="11" t="str">
        <x:v>context aggregation / rule extraction;failure reuse / strategy update;feedback interpretation / loop adjustment;tool routing / strategy routing</x:v>
      </x:c>
      <x:c r="I205" s="11" t="str">
        <x:v>source-linked lead</x:v>
      </x:c>
      <x:c r="J205" s="11" t="str">
        <x:v>https://arxiv.org/pdf/2607.21676 | role p.1; action p.1; feedback p.1; validation p.2; evaluation p.3</x:v>
      </x:c>
      <x:c r="K205" s="11" t="str">
        <x:v>KLEE therefore use path prioritization heuristics to order state exploration, typically optimizing code coverage. However, path prioritization can become trapped in cyclic control-flow regions, where repeated branching consumes the exploration budget before exploration reaches vulnerable code beyond these cyclic regions. We propose KLEECopilot, a</x:v>
      </x:c>
      <x:c r="L205" s="16" t="str">
        <x:v>A source-linked excerpt and locator are supplied as review leads for auditability.</x:v>
      </x:c>
      <x:c r="M205" s="16" t="str">
        <x:v>Require an explicit cross-stage connection. Information must guide later action; feedback must alter later action; packaging must assemble prior outputs; governance must enforce an actual gate.</x:v>
      </x:c>
      <x:c r="N205" s="16" t="str">
        <x:v>context aggregation / rule extraction;tool routing / strategy routing;feedback interpretation / loop adjustment;validation organization / evidence packaging;failure reuse / strategy update</x:v>
      </x:c>
      <x:c r="O205"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205" s="16" t="str">
        <x:v>https://arxiv.org/pdf/2607.21676 | role p.1; action p.1; feedback p.1; validation p.2; evaluation p.3</x:v>
      </x:c>
      <x:c r="Q205" s="16" t="str">
        <x:v>no</x:v>
      </x:c>
      <x:c r="R205" s="11" t="str"/>
      <x:c r="S205" s="11" t="str">
        <x:v>2026-08-12</x:v>
      </x:c>
      <x:c r="T205" s="18" t="str">
        <x:f>IF(OR(AND(N205="unresolved",LEN(O205)&gt;0,LEN(P205)&gt;0,Q205="yes"),AND(LEN(N205)&gt;0,LEN(O205)&gt;0,LEN(P205)&gt;0,OR(Q205="yes",Q205="no"))),"ready","pending")</x:f>
        <x:v>ready</x:v>
      </x:c>
    </x:row>
    <x:row r="206" ht="44" customHeight="1">
      <x:c r="A206" s="10" t="str">
        <x:v>FMS0541__principal_evidence</x:v>
      </x:c>
      <x:c r="B206" s="11" t="str">
        <x:v>FMS0541</x:v>
      </x:c>
      <x:c r="C206" s="11" t="str">
        <x:v>final_multisource_132</x:v>
      </x:c>
      <x:c r="D206" s="11" t="str">
        <x:v>Directed Symbolic Execution for Vulnerability Discovery: An LLM-Guided Approach in KLEE</x:v>
      </x:c>
      <x:c r="E206" s="11" t="str">
        <x:v>principal reported evidence output</x:v>
      </x:c>
      <x:c r="F206" s="11" t="str">
        <x:v>single-label</x:v>
      </x:c>
      <x:c r="G206" s="11" t="str">
        <x:v>reproducible validation</x:v>
      </x:c>
      <x:c r="H206" s="11" t="str">
        <x:v>runtime safety signal</x:v>
      </x:c>
      <x:c r="I206" s="11" t="str">
        <x:v>source-linked lead</x:v>
      </x:c>
      <x:c r="J206" s="11" t="str">
        <x:v>https://arxiv.org/pdf/2607.21676 | role p.1; action p.1; feedback p.1; validation p.2; evaluation p.3</x:v>
      </x:c>
      <x:c r="K206" s="11" t="str">
        <x:v>automatically generating concrete test inputs that make discovered failures or security violations easy for testers to validate and reproduce; (ii) unlike concrete testing that follows a single execution path per run, KLEE can simultaneously explore multiple execution paths; and (iii) because KLEE uses symbolic variables, it does not need to enumerate all possible concrete values for each path, allowing it to explore more program behaviors within a limited time budget. As a result,</x:v>
      </x:c>
      <x:c r="L206" s="16" t="str">
        <x:v>A source-linked excerpt and locator are supplied as review leads for auditability.</x:v>
      </x:c>
      <x:c r="M206" s="16" t="str">
        <x:v>Select the observable result most directly supporting the main finding. Benchmark ground truth or aggregate CVE counts do not automatically establish externally traceable material.</x:v>
      </x:c>
      <x:c r="N206" s="16" t="str">
        <x:v>reproducible validation</x:v>
      </x:c>
      <x:c r="O206" s="16" t="str">
        <x:v>The cited source supports the selected label reproducible validation as the main observable result reported for the study.</x:v>
      </x:c>
      <x:c r="P206" s="16" t="str">
        <x:v>https://arxiv.org/pdf/2607.21676 | role p.1; action p.1; feedback p.1; validation p.2; evaluation p.3</x:v>
      </x:c>
      <x:c r="Q206" s="16" t="str">
        <x:v>no</x:v>
      </x:c>
      <x:c r="R206" s="11" t="str"/>
      <x:c r="S206" s="11" t="str">
        <x:v>2026-08-12</x:v>
      </x:c>
      <x:c r="T206" s="18" t="str">
        <x:f>IF(OR(AND(N206="unresolved",LEN(O206)&gt;0,LEN(P206)&gt;0,Q206="yes"),AND(LEN(N206)&gt;0,LEN(O206)&gt;0,LEN(P206)&gt;0,OR(Q206="yes",Q206="no"))),"ready","pending")</x:f>
        <x:v>ready</x:v>
      </x:c>
    </x:row>
    <x:row r="207" ht="44" customHeight="1">
      <x:c r="A207" s="10" t="str">
        <x:v>FMS0598__lifecycle</x:v>
      </x:c>
      <x:c r="B207" s="11" t="str">
        <x:v>FMS0598</x:v>
      </x:c>
      <x:c r="C207" s="11" t="str">
        <x:v>final_multisource_132</x:v>
      </x:c>
      <x:c r="D207" s="11" t="str">
        <x:v>Environment-Grounded Multi-Agent Workflow for Autonomous Penetration Testing</x:v>
      </x:c>
      <x:c r="E207" s="11" t="str">
        <x:v>lifecycle coverage</x:v>
      </x:c>
      <x:c r="F207" s="11" t="str">
        <x:v>multi-label</x:v>
      </x:c>
      <x:c r="G207" s="11" t="str">
        <x:v>execution observation;path and input exploration;reporting and audit</x:v>
      </x:c>
      <x:c r="H207" s="11" t="str">
        <x:v>candidate analysis;execution observation;path and input exploration;reporting and audit</x:v>
      </x:c>
      <x:c r="I207" s="11" t="str">
        <x:v>source-linked lead</x:v>
      </x:c>
      <x:c r="J207" s="11" t="str">
        <x:v>https://arxiv.org/pdf/2603.24221 | role p.1; action p.1; feedback p.1; validation p.2; evaluation p.2</x:v>
      </x:c>
      <x:c r="K207" s="11" t="str">
        <x:v>tolerance for intrusive interventions. These characteristics cre- we propose an environment-grounded multi-agent architecture ate unique constraints for security analysis and risk mitigation, tailored for ROS-based penetration testing. Rather than relying</x:v>
      </x:c>
      <x:c r="L207" s="16" t="str">
        <x:v>A source-linked excerpt and locator are supplied as review leads for auditability.</x:v>
      </x:c>
      <x:c r="M207" s="16" t="str">
        <x:v>Mark only observable lifecycle actions or outputs. Reporting and audit requires explicit packaging, routing, disclosure, or audit transition; a report name alone is insufficient.</x:v>
      </x:c>
      <x:c r="N207" s="16" t="str">
        <x:v>path and input exploration;execution observation;reporting and audit</x:v>
      </x:c>
      <x:c r="O207" s="16" t="str">
        <x:v>The cited source supports the selected label path and input exploration;execution observation;reporting and audit; only observable workflow actions or outputs were retained.</x:v>
      </x:c>
      <x:c r="P207" s="16" t="str">
        <x:v>https://arxiv.org/pdf/2603.24221 | role p.1; action p.1; feedback p.1; validation p.2; evaluation p.2</x:v>
      </x:c>
      <x:c r="Q207" s="16" t="str">
        <x:v>no</x:v>
      </x:c>
      <x:c r="R207" s="11" t="str"/>
      <x:c r="S207" s="11" t="str">
        <x:v>2026-08-12</x:v>
      </x:c>
      <x:c r="T207" s="18" t="str">
        <x:f>IF(OR(AND(N207="unresolved",LEN(O207)&gt;0,LEN(P207)&gt;0,Q207="yes"),AND(LEN(N207)&gt;0,LEN(O207)&gt;0,LEN(P207)&gt;0,OR(Q207="yes",Q207="no"))),"ready","pending")</x:f>
        <x:v>ready</x:v>
      </x:c>
    </x:row>
    <x:row r="208" ht="44" customHeight="1">
      <x:c r="A208" s="10" t="str">
        <x:v>FMS0598__capability</x:v>
      </x:c>
      <x:c r="B208" s="11" t="str">
        <x:v>FMS0598</x:v>
      </x:c>
      <x:c r="C208" s="11" t="str">
        <x:v>final_multisource_132</x:v>
      </x:c>
      <x:c r="D208" s="11" t="str">
        <x:v>Environment-Grounded Multi-Agent Workflow for Autonomous Penetration Testing</x:v>
      </x:c>
      <x:c r="E208" s="11" t="str">
        <x:v>cross-stage capability</x:v>
      </x:c>
      <x:c r="F208" s="11" t="str">
        <x:v>multi-label</x:v>
      </x:c>
      <x:c r="G208" s="11" t="str">
        <x:v>context aggregation / rule extraction;failure reuse / strategy update;feedback interpretation / loop adjustment;governance / human gates / disclosure control;long-horizon state management;tool routing / strategy routing</x:v>
      </x:c>
      <x:c r="H208" s="11" t="str">
        <x:v>context aggregation / rule extraction;feedback interpretation / loop adjustment;governance / human gates / disclosure control;long-horizon state management;tool routing / strategy routing;validation organization / evidence packaging</x:v>
      </x:c>
      <x:c r="I208" s="11" t="str">
        <x:v>source-linked lead</x:v>
      </x:c>
      <x:c r="J208" s="11" t="str">
        <x:v>https://arxiv.org/pdf/2603.24221 | role p.1; action p.1; feedback p.1; validation p.2; evaluation p.2</x:v>
      </x:c>
      <x:c r="K208" s="11" t="str">
        <x:v>botics-based systems. The approach dynamically constructs a shared graph-based memory during execution that captures introduces significant attack surfaces through exposed topics, the observable system state, including network topology, com- services, and nodes, as well as historically permissive default munication channels, vulnerabilities,</x:v>
      </x:c>
      <x:c r="L208" s="16" t="str">
        <x:v>A source-linked excerpt and locator are supplied as review leads for auditability.</x:v>
      </x:c>
      <x:c r="M208" s="16" t="str">
        <x:v>Require an explicit cross-stage connection. Information must guide later action; feedback must alter later action; packaging must assemble prior outputs; governance must enforce an actual gate.</x:v>
      </x:c>
      <x:c r="N208" s="16" t="str">
        <x:v>context aggregation / rule extraction;tool routing / strategy routing;feedback interpretation / loop adjustment;long-horizon state management;failure reuse / strategy update;governance / human gates / disclosure control</x:v>
      </x:c>
      <x:c r="O208" s="16" t="str">
        <x:v>The cited source supports the selected label context aggregation / rule extraction;tool routing / strategy routing;feedback interpretation / loop adjustment;long-horizon state management;failure reuse / strategy update;governance / human gates / disclosure control; each retained label requires an explicit connection that guides later action, feedback, packaging, or a gate.</x:v>
      </x:c>
      <x:c r="P208" s="16" t="str">
        <x:v>https://arxiv.org/pdf/2603.24221 | role p.1; action p.1; feedback p.1; validation p.2; evaluation p.2</x:v>
      </x:c>
      <x:c r="Q208" s="16" t="str">
        <x:v>no</x:v>
      </x:c>
      <x:c r="R208" s="11" t="str"/>
      <x:c r="S208" s="11" t="str">
        <x:v>2026-08-12</x:v>
      </x:c>
      <x:c r="T208" s="18" t="str">
        <x:f>IF(OR(AND(N208="unresolved",LEN(O208)&gt;0,LEN(P208)&gt;0,Q208="yes"),AND(LEN(N208)&gt;0,LEN(O208)&gt;0,LEN(P208)&gt;0,OR(Q208="yes",Q208="no"))),"ready","pending")</x:f>
        <x:v>ready</x:v>
      </x:c>
    </x:row>
    <x:row r="209" ht="44" customHeight="1">
      <x:c r="A209" s="10" t="str">
        <x:v>FMS0619__lifecycle</x:v>
      </x:c>
      <x:c r="B209" s="11" t="str">
        <x:v>FMS0619</x:v>
      </x:c>
      <x:c r="C209" s="11" t="str">
        <x:v>final_multisource_132</x:v>
      </x:c>
      <x:c r="D209" s="11" t="str">
        <x:v>Evaluating the Effectiveness of Multi-Agent Large Language Models for Automated Vulnerable Code Repair</x:v>
      </x:c>
      <x:c r="E209" s="11" t="str">
        <x:v>lifecycle coverage</x:v>
      </x:c>
      <x:c r="F209" s="11" t="str">
        <x:v>multi-label</x:v>
      </x:c>
      <x:c r="G209" s="11" t="str">
        <x:v>candidate analysis;patch validation</x:v>
      </x:c>
      <x:c r="H209" s="11" t="str">
        <x:v>candidate analysis;execution observation;patch validation;reproduction and validation</x:v>
      </x:c>
      <x:c r="I209" s="11" t="str">
        <x:v>source-linked lead</x:v>
      </x:c>
      <x:c r="J209" s="11" t="str">
        <x:v>https://www.scitepress.org/Papers/2026/144804/144804.pdf | role p.1; action p.1; validation p.1; evaluation p.1</x:v>
      </x:c>
      <x:c r="K209" s="11" t="str">
        <x:v>egies (Bui et al., 2024). Recent advances ing a repaired version. Therefore, agents examine in artificial intelligence have led to the development the source file and generate a fixed version aimed at of pre-trained Large Language Models (LLMs) with</x:v>
      </x:c>
      <x:c r="L209" s="16" t="str">
        <x:v>A source-linked excerpt and locator are supplied as review leads for auditability.</x:v>
      </x:c>
      <x:c r="M209" s="16" t="str">
        <x:v>Mark only observable lifecycle actions or outputs. Reporting and audit requires explicit packaging, routing, disclosure, or audit transition; a report name alone is insufficient.</x:v>
      </x:c>
      <x:c r="N209" s="16" t="str">
        <x:v>candidate analysis;patch validation</x:v>
      </x:c>
      <x:c r="O209" s="16" t="str">
        <x:v>The cited source supports the selected label candidate analysis;patch validation; only observable workflow actions or outputs were retained.</x:v>
      </x:c>
      <x:c r="P209" s="16" t="str">
        <x:v>https://www.scitepress.org/Papers/2026/144804/144804.pdf | role p.1; action p.1; validation p.1; evaluation p.1</x:v>
      </x:c>
      <x:c r="Q209" s="16" t="str">
        <x:v>no</x:v>
      </x:c>
      <x:c r="R209" s="11" t="str"/>
      <x:c r="S209" s="11" t="str">
        <x:v>2026-08-12</x:v>
      </x:c>
      <x:c r="T209" s="18" t="str">
        <x:f>IF(OR(AND(N209="unresolved",LEN(O209)&gt;0,LEN(P209)&gt;0,Q209="yes"),AND(LEN(N209)&gt;0,LEN(O209)&gt;0,LEN(P209)&gt;0,OR(Q209="yes",Q209="no"))),"ready","pending")</x:f>
        <x:v>ready</x:v>
      </x:c>
    </x:row>
    <x:row r="210" ht="44" customHeight="1">
      <x:c r="A210" s="10" t="str">
        <x:v>FMS0619__capability</x:v>
      </x:c>
      <x:c r="B210" s="11" t="str">
        <x:v>FMS0619</x:v>
      </x:c>
      <x:c r="C210" s="11" t="str">
        <x:v>final_multisource_132</x:v>
      </x:c>
      <x:c r="D210" s="11" t="str">
        <x:v>Evaluating the Effectiveness of Multi-Agent Large Language Models for Automated Vulnerable Code Repair</x:v>
      </x:c>
      <x:c r="E210" s="11" t="str">
        <x:v>cross-stage capability</x:v>
      </x:c>
      <x:c r="F210" s="11" t="str">
        <x:v>multi-label</x:v>
      </x:c>
      <x:c r="G210" s="11" t="str">
        <x:v>context aggregation / rule extraction;feedback interpretation / loop adjustment;long-horizon state management;validation organization / evidence packaging</x:v>
      </x:c>
      <x:c r="H210" s="11" t="str">
        <x:v>context aggregation / rule extraction;feedback interpretation / loop adjustment;tool routing / strategy routing;validation organization / evidence packaging</x:v>
      </x:c>
      <x:c r="I210" s="11" t="str">
        <x:v>source-linked lead</x:v>
      </x:c>
      <x:c r="J210" s="11" t="str">
        <x:v>https://www.scitepress.org/Papers/2026/144804/144804.pdf | role p.1; action p.1; validation p.1; evaluation p.1</x:v>
      </x:c>
      <x:c r="K210" s="11" t="str">
        <x:v>oftware Patch. Abstract: Software vulnerabilities can cause severe cyber security incidents, necessitating tools that modify and verify code to ensure it is secure. Although existing automated repair tools offer such functionalities, their perfor- mances are not sufficient, and they face various scalability challenges. Large language models (LLMs) have acquired advanced coding capab</x:v>
      </x:c>
      <x:c r="L210" s="16" t="str">
        <x:v>A source-linked excerpt and locator are supplied as review leads for auditability.</x:v>
      </x:c>
      <x:c r="M210" s="16" t="str">
        <x:v>Require an explicit cross-stage connection. Information must guide later action; feedback must alter later action; packaging must assemble prior outputs; governance must enforce an actual gate.</x:v>
      </x:c>
      <x:c r="N210" s="16" t="str">
        <x:v>context aggregation / rule extraction;feedback interpretation / loop adjustment;validation organization / evidence packaging;long-horizon state management</x:v>
      </x:c>
      <x:c r="O210" s="16" t="str">
        <x:v>The cited source supports the selected label context aggregation / rule extraction;feedback interpretation / loop adjustment;validation organization / evidence packaging;long-horizon state management; each retained label requires an explicit connection that guides later action, feedback, packaging, or a gate.</x:v>
      </x:c>
      <x:c r="P210" s="16" t="str">
        <x:v>https://www.scitepress.org/Papers/2026/144804/144804.pdf | role p.1; action p.1; validation p.1; evaluation p.1</x:v>
      </x:c>
      <x:c r="Q210" s="16" t="str">
        <x:v>no</x:v>
      </x:c>
      <x:c r="R210" s="11" t="str"/>
      <x:c r="S210" s="11" t="str">
        <x:v>2026-08-12</x:v>
      </x:c>
      <x:c r="T210" s="18" t="str">
        <x:f>IF(OR(AND(N210="unresolved",LEN(O210)&gt;0,LEN(P210)&gt;0,Q210="yes"),AND(LEN(N210)&gt;0,LEN(O210)&gt;0,LEN(P210)&gt;0,OR(Q210="yes",Q210="no"))),"ready","pending")</x:f>
        <x:v>ready</x:v>
      </x:c>
    </x:row>
    <x:row r="211" ht="44" customHeight="1">
      <x:c r="A211" s="10" t="str">
        <x:v>FMS0648__lifecycle</x:v>
      </x:c>
      <x:c r="B211" s="11" t="str">
        <x:v>FMS0648</x:v>
      </x:c>
      <x:c r="C211" s="11" t="str">
        <x:v>final_multisource_132</x:v>
      </x:c>
      <x:c r="D211" s="11" t="str">
        <x:v>FalseCrashReducer: Mitigating False Positive Crashes in OSS-Fuzz-Gen Using Agentic AI</x:v>
      </x:c>
      <x:c r="E211" s="11" t="str">
        <x:v>lifecycle coverage</x:v>
      </x:c>
      <x:c r="F211" s="11" t="str">
        <x:v>multi-label</x:v>
      </x:c>
      <x:c r="G211" s="11" t="str">
        <x:v>candidate analysis;execution observation;reproduction and validation</x:v>
      </x:c>
      <x:c r="H211" s="11" t="str">
        <x:v>candidate analysis;execution observation;path and input exploration;reporting and audit;reproduction and validation</x:v>
      </x:c>
      <x:c r="I211" s="11" t="str">
        <x:v>source-linked lead</x:v>
      </x:c>
      <x:c r="J211" s="11" t="str">
        <x:v>https://arxiv.org/pdf/2510.02185 | role p.1; action p.1; feedback p.1; validation p.1; evaluation p.1</x:v>
      </x:c>
      <x:c r="K211" s="11" t="str">
        <x:v>plies and expertise required to manually develop fuzz drivers, methods LLMs to generate drivers at scale for critical open-source software. exist that leverage program analysis and Large Language Models to A persistent challenge, however, is that automatically generated dri-</x:v>
      </x:c>
      <x:c r="L211" s="16" t="str">
        <x:v>A source-linked excerpt and locator are supplied as review leads for auditability.</x:v>
      </x:c>
      <x:c r="M211" s="16" t="str">
        <x:v>Mark only observable lifecycle actions or outputs. Reporting and audit requires explicit packaging, routing, disclosure, or audit transition; a report name alone is insufficient.</x:v>
      </x:c>
      <x:c r="N211" s="16" t="str">
        <x:v>candidate analysis;execution observation;reproduction and validation</x:v>
      </x:c>
      <x:c r="O211" s="16" t="str">
        <x:v>The cited source supports the selected label candidate analysis;execution observation;reproduction and validation; only observable workflow actions or outputs were retained.</x:v>
      </x:c>
      <x:c r="P211" s="16" t="str">
        <x:v>https://arxiv.org/pdf/2510.02185 | role p.1; action p.1; feedback p.1; validation p.1; evaluation p.1</x:v>
      </x:c>
      <x:c r="Q211" s="16" t="str">
        <x:v>no</x:v>
      </x:c>
      <x:c r="R211" s="11" t="str"/>
      <x:c r="S211" s="11" t="str">
        <x:v>2026-08-12</x:v>
      </x:c>
      <x:c r="T211" s="18" t="str">
        <x:f>IF(OR(AND(N211="unresolved",LEN(O211)&gt;0,LEN(P211)&gt;0,Q211="yes"),AND(LEN(N211)&gt;0,LEN(O211)&gt;0,LEN(P211)&gt;0,OR(Q211="yes",Q211="no"))),"ready","pending")</x:f>
        <x:v>ready</x:v>
      </x:c>
    </x:row>
    <x:row r="212" ht="44" customHeight="1">
      <x:c r="A212" s="10" t="str">
        <x:v>FMS0648__primary_shape</x:v>
      </x:c>
      <x:c r="B212" s="11" t="str">
        <x:v>FMS0648</x:v>
      </x:c>
      <x:c r="C212" s="11" t="str">
        <x:v>final_multisource_132</x:v>
      </x:c>
      <x:c r="D212" s="11" t="str">
        <x:v>FalseCrashReducer: Mitigating False Positive Crashes in OSS-Fuzz-Gen Using Agentic AI</x:v>
      </x:c>
      <x:c r="E212" s="11" t="str">
        <x:v>primary system shape</x:v>
      </x:c>
      <x:c r="F212" s="11" t="str">
        <x:v>single-label</x:v>
      </x:c>
      <x:c r="G212" s="11" t="str">
        <x:v>candidate-analysis system</x:v>
      </x:c>
      <x:c r="H212" s="11" t="str">
        <x:v>reproduction-, validation-, and repair-centered agent</x:v>
      </x:c>
      <x:c r="I212" s="11" t="str">
        <x:v>source-linked lead</x:v>
      </x:c>
      <x:c r="J212" s="11" t="str">
        <x:v>https://arxiv.org/pdf/2510.02185 | role p.1; action p.1; feedback p.1; validation p.1; evaluation p.1</x:v>
      </x:c>
      <x:c r="K212" s="11" t="str">
        <x:v>ware bugs and security vulnerabilities, with broad adoption Several research efforts have explored automatically generating in both industry and open-source communities. Directly fuzzing fuzz drivers for project functions. These approaches either rely on a function requires fuzz drivers, which translate random fuzzer program analysis [15, 32, 60, 7</x:v>
      </x:c>
      <x:c r="L212" s="16" t="str">
        <x:v>A source-linked excerpt and locator are supplied as review leads for auditability.</x:v>
      </x:c>
      <x:c r="M212" s="16" t="str">
        <x:v>Choose the dominant locus and objective of agent control in the main evaluated contribution. Use the evaluation task and primary metrics to resolve ties; do not infer from agent count or system name.</x:v>
      </x:c>
      <x:c r="N212" s="16" t="str">
        <x:v>candidate-analysis system</x:v>
      </x:c>
      <x:c r="O212" s="16" t="str">
        <x:v>The cited source supports the selected label candidate-analysis system as the dominant evaluated locus and objective of agent control.</x:v>
      </x:c>
      <x:c r="P212" s="16" t="str">
        <x:v>https://arxiv.org/pdf/2510.02185 | role p.1; action p.1; feedback p.1; validation p.1; evaluation p.1</x:v>
      </x:c>
      <x:c r="Q212" s="16" t="str">
        <x:v>no</x:v>
      </x:c>
      <x:c r="R212" s="11" t="str"/>
      <x:c r="S212" s="11" t="str">
        <x:v>2026-08-12</x:v>
      </x:c>
      <x:c r="T212" s="18" t="str">
        <x:f>IF(OR(AND(N212="unresolved",LEN(O212)&gt;0,LEN(P212)&gt;0,Q212="yes"),AND(LEN(N212)&gt;0,LEN(O212)&gt;0,LEN(P212)&gt;0,OR(Q212="yes",Q212="no"))),"ready","pending")</x:f>
        <x:v>ready</x:v>
      </x:c>
    </x:row>
    <x:row r="213" ht="44" customHeight="1">
      <x:c r="A213" s="10" t="str">
        <x:v>FMS0648__principal_evidence</x:v>
      </x:c>
      <x:c r="B213" s="11" t="str">
        <x:v>FMS0648</x:v>
      </x:c>
      <x:c r="C213" s="11" t="str">
        <x:v>final_multisource_132</x:v>
      </x:c>
      <x:c r="D213" s="11" t="str">
        <x:v>FalseCrashReducer: Mitigating False Positive Crashes in OSS-Fuzz-Gen Using Agentic AI</x:v>
      </x:c>
      <x:c r="E213" s="11" t="str">
        <x:v>principal reported evidence output</x:v>
      </x:c>
      <x:c r="F213" s="11" t="str">
        <x:v>single-label</x:v>
      </x:c>
      <x:c r="G213" s="11" t="str">
        <x:v>candidate judgment</x:v>
      </x:c>
      <x:c r="H213" s="11" t="str">
        <x:v>reproducible validation</x:v>
      </x:c>
      <x:c r="I213" s="11" t="str">
        <x:v>source-linked lead</x:v>
      </x:c>
      <x:c r="J213" s="11" t="str">
        <x:v>https://arxiv.org/pdf/2510.02185 | role p.1; action p.1; feedback p.1; validation p.1; evaluation p.1</x:v>
      </x:c>
      <x:c r="K213" s="11" t="str">
        <x:v>tion efforts like OSS-Fuzz-Gen, as reporting false positive crashes well-structured and validated inputs. Existing solutions for detect- to maintainers impede trust in both the system and the team. ing these false positive crashes either rely on program analysis This paper presents two AI-driven strategies to reduce false techniques with high engi</x:v>
      </x:c>
      <x:c r="L213" s="16" t="str">
        <x:v>A source-linked excerpt and locator are supplied as review leads for auditability.</x:v>
      </x:c>
      <x:c r="M213" s="16" t="str">
        <x:v>Select the observable result most directly supporting the main finding. Benchmark ground truth or aggregate CVE counts do not automatically establish externally traceable material.</x:v>
      </x:c>
      <x:c r="N213" s="16" t="str">
        <x:v>candidate judgment</x:v>
      </x:c>
      <x:c r="O213" s="16" t="str">
        <x:v>The cited source supports the selected label candidate judgment as the main observable result reported for the study.</x:v>
      </x:c>
      <x:c r="P213" s="16" t="str">
        <x:v>https://arxiv.org/pdf/2510.02185 | role p.1; action p.1; feedback p.1; validation p.1; evaluation p.1</x:v>
      </x:c>
      <x:c r="Q213" s="16" t="str">
        <x:v>no</x:v>
      </x:c>
      <x:c r="R213" s="11" t="str"/>
      <x:c r="S213" s="11" t="str">
        <x:v>2026-08-12</x:v>
      </x:c>
      <x:c r="T213" s="18" t="str">
        <x:f>IF(OR(AND(N213="unresolved",LEN(O213)&gt;0,LEN(P213)&gt;0,Q213="yes"),AND(LEN(N213)&gt;0,LEN(O213)&gt;0,LEN(P213)&gt;0,OR(Q213="yes",Q213="no"))),"ready","pending")</x:f>
        <x:v>ready</x:v>
      </x:c>
    </x:row>
    <x:row r="214" ht="44" customHeight="1">
      <x:c r="A214" s="10" t="str">
        <x:v>FMS0650__lifecycle</x:v>
      </x:c>
      <x:c r="B214" s="11" t="str">
        <x:v>FMS0650</x:v>
      </x:c>
      <x:c r="C214" s="11" t="str">
        <x:v>final_multisource_132</x:v>
      </x:c>
      <x:c r="D214" s="11" t="str">
        <x:v>FaultLine: Automated Proof-of-Vulnerability Generation Using LLM Agents</x:v>
      </x:c>
      <x:c r="E214" s="11" t="str">
        <x:v>lifecycle coverage</x:v>
      </x:c>
      <x:c r="F214" s="11" t="str">
        <x:v>multi-label</x:v>
      </x:c>
      <x:c r="G214" s="11" t="str">
        <x:v>candidate analysis;execution observation;reproduction and validation</x:v>
      </x:c>
      <x:c r="H214" s="11" t="str">
        <x:v>candidate analysis;execution observation;patch validation;path and input exploration;reporting and audit;reproduction and validation</x:v>
      </x:c>
      <x:c r="I214" s="11" t="str">
        <x:v>source-linked lead</x:v>
      </x:c>
      <x:c r="J214" s="11" t="str">
        <x:v>https://arxiv.org/pdf/2507.15241 | role p.1; action p.1; feedback p.1; validation p.1; evaluation p.7</x:v>
      </x:c>
      <x:c r="K214" s="11" t="str">
        <x:v>ing PoV tests is a challenging problem, requiring Test generation, Vulnerability Detection, Agents, LLMs reasoning about the flow of control and data through deeply nested levels of a progra</x:v>
      </x:c>
      <x:c r="L214" s="16" t="str">
        <x:v>A source-linked excerpt and locator are supplied as review leads for auditability.</x:v>
      </x:c>
      <x:c r="M214" s="16" t="str">
        <x:v>Mark only observable lifecycle actions or outputs. Reporting and audit requires explicit packaging, routing, disclosure, or audit transition; a report name alone is insufficient.</x:v>
      </x:c>
      <x:c r="N214" s="16" t="str">
        <x:v>candidate analysis;execution observation;reproduction and validation</x:v>
      </x:c>
      <x:c r="O214" s="16" t="str">
        <x:v>The cited source supports the selected label candidate analysis;execution observation;reproduction and validation; only observable workflow actions or outputs were retained.</x:v>
      </x:c>
      <x:c r="P214" s="16" t="str">
        <x:v>https://arxiv.org/pdf/2507.15241 | role p.1; action p.1; feedback p.1; validation p.1; evaluation p.7</x:v>
      </x:c>
      <x:c r="Q214" s="16" t="str">
        <x:v>no</x:v>
      </x:c>
      <x:c r="R214" s="11" t="str"/>
      <x:c r="S214" s="11" t="str">
        <x:v>2026-08-12</x:v>
      </x:c>
      <x:c r="T214" s="18" t="str">
        <x:f>IF(OR(AND(N214="unresolved",LEN(O214)&gt;0,LEN(P214)&gt;0,Q214="yes"),AND(LEN(N214)&gt;0,LEN(O214)&gt;0,LEN(P214)&gt;0,OR(Q214="yes",Q214="no"))),"ready","pending")</x:f>
        <x:v>ready</x:v>
      </x:c>
    </x:row>
    <x:row r="215" ht="44" customHeight="1">
      <x:c r="A215" s="10" t="str">
        <x:v>FMS0650__capability</x:v>
      </x:c>
      <x:c r="B215" s="11" t="str">
        <x:v>FMS0650</x:v>
      </x:c>
      <x:c r="C215" s="11" t="str">
        <x:v>final_multisource_132</x:v>
      </x:c>
      <x:c r="D215" s="11" t="str">
        <x:v>FaultLine: Automated Proof-of-Vulnerability Generation Using LLM Agents</x:v>
      </x:c>
      <x:c r="E215" s="11" t="str">
        <x:v>cross-stage capability</x:v>
      </x:c>
      <x:c r="F215" s="11" t="str">
        <x:v>multi-label</x:v>
      </x:c>
      <x:c r="G215" s="11" t="str">
        <x:v>context aggregation / rule extraction;failure reuse / strategy update;feedback interpretation / loop adjustment;long-horizon state management;tool routing / strategy routing;validation organization / evidence packaging</x:v>
      </x:c>
      <x:c r="H215" s="11" t="str">
        <x:v>context aggregation / rule extraction;failure reuse / strategy update;feedback interpretation / loop adjustment;tool routing / strategy routing;validation organization / evidence packaging</x:v>
      </x:c>
      <x:c r="I215" s="11" t="str">
        <x:v>source-linked lead</x:v>
      </x:c>
      <x:c r="J215" s="11" t="str">
        <x:v>https://arxiv.org/pdf/2507.15241 | role p.1; action p.1; feedback p.1; validation p.1; evaluation p.7</x:v>
      </x:c>
      <x:c r="K215" s="11" t="str">
        <x:v>development process, driving the community to build various au- case in a feedback-driven loop. FaultLine does not use language- tomated detection and fixing tools [14]. When a vulnerability is specific static or dynamic analysis components, which enables it to detected in a project, it is reported to the developers of the project,</x:v>
      </x:c>
      <x:c r="L215" s="16" t="str">
        <x:v>A source-linked excerpt and locator are supplied as review leads for auditability.</x:v>
      </x:c>
      <x:c r="M215" s="16" t="str">
        <x:v>Require an explicit cross-stage connection. Information must guide later action; feedback must alter later action; packaging must assemble prior outputs; governance must enforce an actual gate.</x:v>
      </x:c>
      <x:c r="N215" s="16" t="str">
        <x:v>context aggregation / rule extraction;tool routing / strategy routing;feedback interpretation / loop adjustment;validation organization / evidence packaging;long-horizon state management;failure reuse / strategy update</x:v>
      </x:c>
      <x:c r="O215"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215" s="16" t="str">
        <x:v>https://arxiv.org/pdf/2507.15241 | role p.1; action p.1; feedback p.1; validation p.1; evaluation p.7</x:v>
      </x:c>
      <x:c r="Q215" s="16" t="str">
        <x:v>no</x:v>
      </x:c>
      <x:c r="R215" s="11" t="str"/>
      <x:c r="S215" s="11" t="str">
        <x:v>2026-08-12</x:v>
      </x:c>
      <x:c r="T215" s="18" t="str">
        <x:f>IF(OR(AND(N215="unresolved",LEN(O215)&gt;0,LEN(P215)&gt;0,Q215="yes"),AND(LEN(N215)&gt;0,LEN(O215)&gt;0,LEN(P215)&gt;0,OR(Q215="yes",Q215="no"))),"ready","pending")</x:f>
        <x:v>ready</x:v>
      </x:c>
    </x:row>
    <x:row r="216" ht="44" customHeight="1">
      <x:c r="A216" s="10" t="str">
        <x:v>FMS0676__lifecycle</x:v>
      </x:c>
      <x:c r="B216" s="11" t="str">
        <x:v>FMS0676</x:v>
      </x:c>
      <x:c r="C216" s="11" t="str">
        <x:v>final_multisource_132</x:v>
      </x:c>
      <x:c r="D216" s="11" t="str">
        <x:v>From Capabilities to Performance: Evaluating Key Functional Properties of LLM Architectures in Penetration Testing</x:v>
      </x:c>
      <x:c r="E216" s="11" t="str">
        <x:v>lifecycle coverage</x:v>
      </x:c>
      <x:c r="F216" s="11" t="str">
        <x:v>multi-label</x:v>
      </x:c>
      <x:c r="G216" s="11" t="str">
        <x:v>execution observation;path and input exploration;reporting and audit</x:v>
      </x:c>
      <x:c r="H216" s="11" t="str">
        <x:v>candidate analysis;execution observation;path and input exploration;reporting and audit</x:v>
      </x:c>
      <x:c r="I216" s="11" t="str">
        <x:v>source-linked lead</x:v>
      </x:c>
      <x:c r="J216" s="11" t="str">
        <x:v>https://arxiv.org/pdf/2509.14289 | role p.1; action p.1; feedback p.1; validation p.2; evaluation p.1</x:v>
      </x:c>
      <x:c r="K216" s="11" t="str">
        <x:v>open questions. This study presents a com- being constrained to narrow objectives, LLMs can prehensive evaluation of multiple LLM-based reason through attack paths, generate payloads, and agents, ranging from singular to modular de- res</x:v>
      </x:c>
      <x:c r="L216" s="16" t="str">
        <x:v>A source-linked excerpt and locator are supplied as review leads for auditability.</x:v>
      </x:c>
      <x:c r="M216" s="16" t="str">
        <x:v>Mark only observable lifecycle actions or outputs. Reporting and audit requires explicit packaging, routing, disclosure, or audit transition; a report name alone is insufficient.</x:v>
      </x:c>
      <x:c r="N216" s="16" t="str">
        <x:v>path and input exploration;execution observation;reporting and audit</x:v>
      </x:c>
      <x:c r="O216" s="16" t="str">
        <x:v>The cited source supports the selected label path and input exploration;execution observation;reporting and audit; only observable workflow actions or outputs were retained.</x:v>
      </x:c>
      <x:c r="P216" s="16" t="str">
        <x:v>https://arxiv.org/pdf/2509.14289 | role p.1; action p.1; feedback p.1; validation p.2; evaluation p.1</x:v>
      </x:c>
      <x:c r="Q216" s="16" t="str">
        <x:v>no</x:v>
      </x:c>
      <x:c r="R216" s="11" t="str"/>
      <x:c r="S216" s="11" t="str">
        <x:v>2026-08-12</x:v>
      </x:c>
      <x:c r="T216" s="18" t="str">
        <x:f>IF(OR(AND(N216="unresolved",LEN(O216)&gt;0,LEN(P216)&gt;0,Q216="yes"),AND(LEN(N216)&gt;0,LEN(O216)&gt;0,LEN(P216)&gt;0,OR(Q216="yes",Q216="no"))),"ready","pending")</x:f>
        <x:v>ready</x:v>
      </x:c>
    </x:row>
    <x:row r="217" ht="44" customHeight="1">
      <x:c r="A217" s="10" t="str">
        <x:v>FMS0676__capability</x:v>
      </x:c>
      <x:c r="B217" s="11" t="str">
        <x:v>FMS0676</x:v>
      </x:c>
      <x:c r="C217" s="11" t="str">
        <x:v>final_multisource_132</x:v>
      </x:c>
      <x:c r="D217" s="11" t="str">
        <x:v>From Capabilities to Performance: Evaluating Key Functional Properties of LLM Architectures in Penetration Testing</x:v>
      </x:c>
      <x:c r="E217" s="11" t="str">
        <x:v>cross-stage capability</x:v>
      </x:c>
      <x:c r="F217" s="11" t="str">
        <x:v>multi-label</x:v>
      </x:c>
      <x:c r="G217" s="11" t="str">
        <x:v>failure reuse / strategy update;feedback interpretation / loop adjustment;long-horizon state management;tool routing / strategy routing</x:v>
      </x:c>
      <x:c r="H217" s="11" t="str">
        <x:v>context aggregation / rule extraction;feedback interpretation / loop adjustment;long-horizon state management;tool routing / strategy routing;validation organization / evidence packaging</x:v>
      </x:c>
      <x:c r="I217" s="11" t="str">
        <x:v>source-linked lead</x:v>
      </x:c>
      <x:c r="J217" s="11" t="str">
        <x:v>https://arxiv.org/pdf/2509.14289 | role p.1; action p.1; feedback p.1; validation p.2; evaluation p.1</x:v>
      </x:c>
      <x:c r="K217" s="11" t="str">
        <x:v>agents, ranging from singular to modular de- respond dynamically to network feedback, thereby signs, across realistic penetration testing sce- enabling new PT capabilities such as autonomous narios, analyzing their empirical performance reconnaissance, adaptive exploit crafting, and ad-</x:v>
      </x:c>
      <x:c r="L217" s="16" t="str">
        <x:v>A source-linked excerpt and locator are supplied as review leads for auditability.</x:v>
      </x:c>
      <x:c r="M217" s="16" t="str">
        <x:v>Require an explicit cross-stage connection. Information must guide later action; feedback must alter later action; packaging must assemble prior outputs; governance must enforce an actual gate.</x:v>
      </x:c>
      <x:c r="N217" s="16" t="str">
        <x:v>tool routing / strategy routing;feedback interpretation / loop adjustment;long-horizon state management;failure reuse / strategy update</x:v>
      </x:c>
      <x:c r="O217" s="16" t="str">
        <x:v>The cited source supports the selected label tool routing / strategy routing;feedback interpretation / loop adjustment;long-horizon state management;failure reuse / strategy update; each retained label requires an explicit connection that guides later action, feedback, packaging, or a gate.</x:v>
      </x:c>
      <x:c r="P217" s="16" t="str">
        <x:v>https://arxiv.org/pdf/2509.14289 | role p.1; action p.1; feedback p.1; validation p.2; evaluation p.1</x:v>
      </x:c>
      <x:c r="Q217" s="16" t="str">
        <x:v>no</x:v>
      </x:c>
      <x:c r="R217" s="11" t="str"/>
      <x:c r="S217" s="11" t="str">
        <x:v>2026-08-12</x:v>
      </x:c>
      <x:c r="T217" s="18" t="str">
        <x:f>IF(OR(AND(N217="unresolved",LEN(O217)&gt;0,LEN(P217)&gt;0,Q217="yes"),AND(LEN(N217)&gt;0,LEN(O217)&gt;0,LEN(P217)&gt;0,OR(Q217="yes",Q217="no"))),"ready","pending")</x:f>
        <x:v>ready</x:v>
      </x:c>
    </x:row>
    <x:row r="218" ht="44" customHeight="1">
      <x:c r="A218" s="10" t="str">
        <x:v>FMS0684__lifecycle</x:v>
      </x:c>
      <x:c r="B218" s="11" t="str">
        <x:v>FMS0684</x:v>
      </x:c>
      <x:c r="C218" s="11" t="str">
        <x:v>final_multisource_132</x:v>
      </x:c>
      <x:c r="D218" s="11" t="str">
        <x:v>From LLMs to Agents: A Comparative Evaluation of LLMs and LLM-based Agents in Security Patch Detection</x:v>
      </x:c>
      <x:c r="E218" s="11" t="str">
        <x:v>lifecycle coverage</x:v>
      </x:c>
      <x:c r="F218" s="11" t="str">
        <x:v>multi-label</x:v>
      </x:c>
      <x:c r="G218" s="11" t="str">
        <x:v>candidate analysis;execution observation</x:v>
      </x:c>
      <x:c r="H218" s="11" t="str">
        <x:v>candidate analysis;reporting and audit</x:v>
      </x:c>
      <x:c r="I218" s="11" t="str">
        <x:v>source-linked lead</x:v>
      </x:c>
      <x:c r="J218" s="11" t="str">
        <x:v>https://arxiv.org/pdf/2511.08060 | role p.3; action p.1; feedback p.4; validation p.2; evaluation p.1</x:v>
      </x:c>
      <x:c r="K218" s="11" t="str">
        <x:v>rily relied on rule-based heuristic applications of LLMs in automated patch generation. For methods [40], [41] and traditional machine learning techniques</x:v>
      </x:c>
      <x:c r="L218" s="16" t="str">
        <x:v>A source-linked excerpt and locator are supplied as review leads for auditability.</x:v>
      </x:c>
      <x:c r="M218" s="16" t="str">
        <x:v>Mark only observable lifecycle actions or outputs. Reporting and audit requires explicit packaging, routing, disclosure, or audit transition; a report name alone is insufficient.</x:v>
      </x:c>
      <x:c r="N218" s="16" t="str">
        <x:v>candidate analysis;execution observation</x:v>
      </x:c>
      <x:c r="O218" s="16" t="str">
        <x:v>The cited source supports the selected label candidate analysis;execution observation; only observable workflow actions or outputs were retained.</x:v>
      </x:c>
      <x:c r="P218" s="16" t="str">
        <x:v>https://arxiv.org/pdf/2511.08060 | role p.3; action p.1; feedback p.4; validation p.2; evaluation p.1</x:v>
      </x:c>
      <x:c r="Q218" s="16" t="str">
        <x:v>no</x:v>
      </x:c>
      <x:c r="R218" s="11" t="str"/>
      <x:c r="S218" s="11" t="str">
        <x:v>2026-08-12</x:v>
      </x:c>
      <x:c r="T218" s="18" t="str">
        <x:f>IF(OR(AND(N218="unresolved",LEN(O218)&gt;0,LEN(P218)&gt;0,Q218="yes"),AND(LEN(N218)&gt;0,LEN(O218)&gt;0,LEN(P218)&gt;0,OR(Q218="yes",Q218="no"))),"ready","pending")</x:f>
        <x:v>ready</x:v>
      </x:c>
    </x:row>
    <x:row r="219" ht="44" customHeight="1">
      <x:c r="A219" s="10" t="str">
        <x:v>FMS0684__capability</x:v>
      </x:c>
      <x:c r="B219" s="11" t="str">
        <x:v>FMS0684</x:v>
      </x:c>
      <x:c r="C219" s="11" t="str">
        <x:v>final_multisource_132</x:v>
      </x:c>
      <x:c r="D219" s="11" t="str">
        <x:v>From LLMs to Agents: A Comparative Evaluation of LLMs and LLM-based Agents in Security Patch Detection</x:v>
      </x:c>
      <x:c r="E219" s="11" t="str">
        <x:v>cross-stage capability</x:v>
      </x:c>
      <x:c r="F219" s="11" t="str">
        <x:v>multi-label</x:v>
      </x:c>
      <x:c r="G219" s="11" t="str">
        <x:v>context aggregation / rule extraction;feedback interpretation / loop adjustment;long-horizon state management;tool routing / strategy routing</x:v>
      </x:c>
      <x:c r="H219" s="11" t="str">
        <x:v>context aggregation / rule extraction;validation organization / evidence packaging</x:v>
      </x:c>
      <x:c r="I219" s="11" t="str">
        <x:v>source-linked lead</x:v>
      </x:c>
      <x:c r="J219" s="11" t="str">
        <x:v>https://arxiv.org/pdf/2511.08060 | role p.3; action p.1; feedback p.4; validation p.2; evaluation p.1</x:v>
      </x:c>
      <x:c r="K219" s="11" t="str">
        <x:v>of the original patches. This scenarios. comprehensive structure ensures robust coverage and diversity Plain LLM approach utilizes a single LLM with a system for patch-related research. prompt to detect security patches. Specifically, the LLM pro- This dataset includes records with various attributes, includ-</x:v>
      </x:c>
      <x:c r="L219" s="16" t="str">
        <x:v>A source-linked excerpt and locator are supplied as review leads for auditability.</x:v>
      </x:c>
      <x:c r="M219" s="16" t="str">
        <x:v>Require an explicit cross-stage connection. Information must guide later action; feedback must alter later action; packaging must assemble prior outputs; governance must enforce an actual gate.</x:v>
      </x:c>
      <x:c r="N219" s="16" t="str">
        <x:v>context aggregation / rule extraction;tool routing / strategy routing;feedback interpretation / loop adjustment;long-horizon state management</x:v>
      </x:c>
      <x:c r="O219"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219" s="16" t="str">
        <x:v>https://arxiv.org/pdf/2511.08060 | role p.3; action p.1; feedback p.4; validation p.2; evaluation p.1</x:v>
      </x:c>
      <x:c r="Q219" s="16" t="str">
        <x:v>no</x:v>
      </x:c>
      <x:c r="R219" s="11" t="str"/>
      <x:c r="S219" s="11" t="str">
        <x:v>2026-08-12</x:v>
      </x:c>
      <x:c r="T219" s="18" t="str">
        <x:f>IF(OR(AND(N219="unresolved",LEN(O219)&gt;0,LEN(P219)&gt;0,Q219="yes"),AND(LEN(N219)&gt;0,LEN(O219)&gt;0,LEN(P219)&gt;0,OR(Q219="yes",Q219="no"))),"ready","pending")</x:f>
        <x:v>ready</x:v>
      </x:c>
    </x:row>
    <x:row r="220" ht="44" customHeight="1">
      <x:c r="A220" s="10" t="str">
        <x:v>FMS0698__lifecycle</x:v>
      </x:c>
      <x:c r="B220" s="11" t="str">
        <x:v>FMS0698</x:v>
      </x:c>
      <x:c r="C220" s="11" t="str">
        <x:v>final_multisource_132</x:v>
      </x:c>
      <x:c r="D220" s="11" t="str">
        <x:v>From Trace to Line: LLM Agent for Real-World OSS Vulnerability Localization</x:v>
      </x:c>
      <x:c r="E220" s="11" t="str">
        <x:v>lifecycle coverage</x:v>
      </x:c>
      <x:c r="F220" s="11" t="str">
        <x:v>multi-label</x:v>
      </x:c>
      <x:c r="G220" s="11" t="str">
        <x:v>candidate analysis;execution observation</x:v>
      </x:c>
      <x:c r="H220" s="11" t="str">
        <x:v>candidate analysis;reporting and audit</x:v>
      </x:c>
      <x:c r="I220" s="11" t="str">
        <x:v>source-linked lead</x:v>
      </x:c>
      <x:c r="J220" s="11" t="str">
        <x:v>https://arxiv.org/pdf/2510.02389 | role p.1; action p.1; feedback p.1; validation p.3; evaluation p.1</x:v>
      </x:c>
      <x:c r="K220" s="11" t="str">
        <x:v>4). LLMs show strong aptitude for understanding com- provide a baseline agent with an Agentic Trace plex codebases and flagging potential issues (Divakaran &amp; Analyzer (ATA) that fuses runtime evidence such Peddinti, 2024), naturally extending to vulnerability detec-</x:v>
      </x:c>
      <x:c r="L220" s="16" t="str">
        <x:v>A source-linked excerpt and locator are supplied as review leads for auditability.</x:v>
      </x:c>
      <x:c r="M220" s="16" t="str">
        <x:v>Mark only observable lifecycle actions or outputs. Reporting and audit requires explicit packaging, routing, disclosure, or audit transition; a report name alone is insufficient.</x:v>
      </x:c>
      <x:c r="N220" s="16" t="str">
        <x:v>candidate analysis;execution observation</x:v>
      </x:c>
      <x:c r="O220" s="16" t="str">
        <x:v>The cited source supports the selected label candidate analysis;execution observation; only observable workflow actions or outputs were retained.</x:v>
      </x:c>
      <x:c r="P220" s="16" t="str">
        <x:v>https://arxiv.org/pdf/2510.02389 | role p.1; action p.1; feedback p.1; validation p.3; evaluation p.1</x:v>
      </x:c>
      <x:c r="Q220" s="16" t="str">
        <x:v>no</x:v>
      </x:c>
      <x:c r="R220" s="11" t="str"/>
      <x:c r="S220" s="11" t="str">
        <x:v>2026-08-12</x:v>
      </x:c>
      <x:c r="T220" s="18" t="str">
        <x:f>IF(OR(AND(N220="unresolved",LEN(O220)&gt;0,LEN(P220)&gt;0,Q220="yes"),AND(LEN(N220)&gt;0,LEN(O220)&gt;0,LEN(P220)&gt;0,OR(Q220="yes",Q220="no"))),"ready","pending")</x:f>
        <x:v>ready</x:v>
      </x:c>
    </x:row>
    <x:row r="221" ht="44" customHeight="1">
      <x:c r="A221" s="10" t="str">
        <x:v>FMS0698__capability</x:v>
      </x:c>
      <x:c r="B221" s="11" t="str">
        <x:v>FMS0698</x:v>
      </x:c>
      <x:c r="C221" s="11" t="str">
        <x:v>final_multisource_132</x:v>
      </x:c>
      <x:c r="D221" s="11" t="str">
        <x:v>From Trace to Line: LLM Agent for Real-World OSS Vulnerability Localization</x:v>
      </x:c>
      <x:c r="E221" s="11" t="str">
        <x:v>cross-stage capability</x:v>
      </x:c>
      <x:c r="F221" s="11" t="str">
        <x:v>multi-label</x:v>
      </x:c>
      <x:c r="G221" s="11" t="str">
        <x:v>context aggregation / rule extraction;feedback interpretation / loop adjustment;long-horizon state management;tool routing / strategy routing</x:v>
      </x:c>
      <x:c r="H221" s="11" t="str">
        <x:v>context aggregation / rule extraction;feedback interpretation / loop adjustment;validation organization / evidence packaging</x:v>
      </x:c>
      <x:c r="I221" s="11" t="str">
        <x:v>source-linked lead</x:v>
      </x:c>
      <x:c r="J221" s="11" t="str">
        <x:v>https://arxiv.org/pdf/2510.02389 | role p.1; action p.1; feedback p.1; validation p.3; evaluation p.1</x:v>
      </x:c>
      <x:c r="K221" s="11" t="str">
        <x:v>Peddinti, 2024), naturally extending to vulnerability detec- as crash points and stack traces to translate failure tion through fine-tuning and agentic frameworks (tmylla symptoms into actionable diagnoses. To enable and contributors, 2024). rigorous evaluation, we introduce T2L-ARVO, an</x:v>
      </x:c>
      <x:c r="L221" s="16" t="str">
        <x:v>A source-linked excerpt and locator are supplied as review leads for auditability.</x:v>
      </x:c>
      <x:c r="M221" s="16" t="str">
        <x:v>Require an explicit cross-stage connection. Information must guide later action; feedback must alter later action; packaging must assemble prior outputs; governance must enforce an actual gate.</x:v>
      </x:c>
      <x:c r="N221" s="16" t="str">
        <x:v>context aggregation / rule extraction;tool routing / strategy routing;feedback interpretation / loop adjustment;long-horizon state management</x:v>
      </x:c>
      <x:c r="O221"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221" s="16" t="str">
        <x:v>https://arxiv.org/pdf/2510.02389 | role p.1; action p.1; feedback p.1; validation p.3; evaluation p.1</x:v>
      </x:c>
      <x:c r="Q221" s="16" t="str">
        <x:v>no</x:v>
      </x:c>
      <x:c r="R221" s="11" t="str"/>
      <x:c r="S221" s="11" t="str">
        <x:v>2026-08-12</x:v>
      </x:c>
      <x:c r="T221" s="18" t="str">
        <x:f>IF(OR(AND(N221="unresolved",LEN(O221)&gt;0,LEN(P221)&gt;0,Q221="yes"),AND(LEN(N221)&gt;0,LEN(O221)&gt;0,LEN(P221)&gt;0,OR(Q221="yes",Q221="no"))),"ready","pending")</x:f>
        <x:v>ready</x:v>
      </x:c>
    </x:row>
    <x:row r="222" ht="44" customHeight="1">
      <x:c r="A222" s="10" t="str">
        <x:v>FMS0718__lifecycle</x:v>
      </x:c>
      <x:c r="B222" s="11" t="str">
        <x:v>FMS0718</x:v>
      </x:c>
      <x:c r="C222" s="11" t="str">
        <x:v>final_multisource_132</x:v>
      </x:c>
      <x:c r="D222" s="11" t="str">
        <x:v>GapForge: Directed Compiler Fuzzing via Coverage-Gap Analysis</x:v>
      </x:c>
      <x:c r="E222" s="11" t="str">
        <x:v>lifecycle coverage</x:v>
      </x:c>
      <x:c r="F222" s="11" t="str">
        <x:v>multi-label</x:v>
      </x:c>
      <x:c r="G222" s="11" t="str">
        <x:v>candidate analysis;execution observation;path and input exploration;reproduction and validation</x:v>
      </x:c>
      <x:c r="H222" s="11" t="str">
        <x:v>candidate analysis;execution observation;path and input exploration</x:v>
      </x:c>
      <x:c r="I222" s="11" t="str">
        <x:v>source-linked lead</x:v>
      </x:c>
      <x:c r="J222" s="11" t="str">
        <x:v>https://arxiv.org/pdf/2607.15762 | role p.1; action p.1; feedback p.1; validation p.2; evaluation p.1</x:v>
      </x:c>
      <x:c r="K222" s="11" t="str">
        <x:v>Abstract—Due to the scale and complexity of modern compiler Index Terms—White-box Testing, Large Language Models, codebases (e.g., GCC and LLVM), achieving comprehensive Coverage Analysis coverage across diverse code regions remains highly challenging.</x:v>
      </x:c>
      <x:c r="L222" s="16" t="str">
        <x:v>A source-linked excerpt and locator are supplied as review leads for auditability.</x:v>
      </x:c>
      <x:c r="M222" s="16" t="str">
        <x:v>Mark only observable lifecycle actions or outputs. Reporting and audit requires explicit packaging, routing, disclosure, or audit transition; a report name alone is insufficient.</x:v>
      </x:c>
      <x:c r="N222" s="16" t="str">
        <x:v>candidate analysis;path and input exploration;execution observation;reproduction and validation</x:v>
      </x:c>
      <x:c r="O222" s="16" t="str">
        <x:v>The cited source supports the selected label candidate analysis;path and input exploration;execution observation;reproduction and validation; only observable workflow actions or outputs were retained.</x:v>
      </x:c>
      <x:c r="P222" s="16" t="str">
        <x:v>https://arxiv.org/pdf/2607.15762 | role p.1; action p.1; feedback p.1; validation p.2; evaluation p.1</x:v>
      </x:c>
      <x:c r="Q222" s="16" t="str">
        <x:v>no</x:v>
      </x:c>
      <x:c r="R222" s="11" t="str"/>
      <x:c r="S222" s="11" t="str">
        <x:v>2026-08-12</x:v>
      </x:c>
      <x:c r="T222" s="18" t="str">
        <x:f>IF(OR(AND(N222="unresolved",LEN(O222)&gt;0,LEN(P222)&gt;0,Q222="yes"),AND(LEN(N222)&gt;0,LEN(O222)&gt;0,LEN(P222)&gt;0,OR(Q222="yes",Q222="no"))),"ready","pending")</x:f>
        <x:v>ready</x:v>
      </x:c>
    </x:row>
    <x:row r="223" ht="44" customHeight="1">
      <x:c r="A223" s="10" t="str">
        <x:v>FMS0718__capability</x:v>
      </x:c>
      <x:c r="B223" s="11" t="str">
        <x:v>FMS0718</x:v>
      </x:c>
      <x:c r="C223" s="11" t="str">
        <x:v>final_multisource_132</x:v>
      </x:c>
      <x:c r="D223" s="11" t="str">
        <x:v>GapForge: Directed Compiler Fuzzing via Coverage-Gap Analysis</x:v>
      </x:c>
      <x:c r="E223" s="11" t="str">
        <x:v>cross-stage capability</x:v>
      </x:c>
      <x:c r="F223" s="11" t="str">
        <x:v>multi-label</x:v>
      </x:c>
      <x:c r="G223" s="11" t="str">
        <x:v>context aggregation / rule extraction;failure reuse / strategy update;feedback interpretation / loop adjustment;tool routing / strategy routing;validation organization / evidence packaging</x:v>
      </x:c>
      <x:c r="H223" s="11" t="str">
        <x:v>context aggregation / rule extraction;failure reuse / strategy update;feedback interpretation / loop adjustment;tool routing / strategy routing</x:v>
      </x:c>
      <x:c r="I223" s="11" t="str">
        <x:v>source-linked lead</x:v>
      </x:c>
      <x:c r="J223" s="11" t="str">
        <x:v>https://arxiv.org/pdf/2607.15762 | role p.1; action p.1; feedback p.1; validation p.2; evaluation p.1</x:v>
      </x:c>
      <x:c r="K223" s="11" t="str">
        <x:v>GapForge: Directed Compiler Fuzzing via Coverage-Gap Analysis 1st Mingxuan Zhu 2nd Qingyuan Liang Key Lab of High Confidence Software Technologies Key Lab of High Confidence Software Technologies</x:v>
      </x:c>
      <x:c r="L223" s="16" t="str">
        <x:v>A source-linked excerpt and locator are supplied as review leads for auditability.</x:v>
      </x:c>
      <x:c r="M223" s="16" t="str">
        <x:v>Require an explicit cross-stage connection. Information must guide later action; feedback must alter later action; packaging must assemble prior outputs; governance must enforce an actual gate.</x:v>
      </x:c>
      <x:c r="N223" s="16" t="str">
        <x:v>context aggregation / rule extraction;tool routing / strategy routing;feedback interpretation / loop adjustment;validation organization / evidence packaging;failure reuse / strategy update</x:v>
      </x:c>
      <x:c r="O223"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223" s="16" t="str">
        <x:v>https://arxiv.org/pdf/2607.15762 | role p.1; action p.1; feedback p.1; validation p.2; evaluation p.1</x:v>
      </x:c>
      <x:c r="Q223" s="16" t="str">
        <x:v>no</x:v>
      </x:c>
      <x:c r="R223" s="11" t="str"/>
      <x:c r="S223" s="11" t="str">
        <x:v>2026-08-12</x:v>
      </x:c>
      <x:c r="T223" s="18" t="str">
        <x:f>IF(OR(AND(N223="unresolved",LEN(O223)&gt;0,LEN(P223)&gt;0,Q223="yes"),AND(LEN(N223)&gt;0,LEN(O223)&gt;0,LEN(P223)&gt;0,OR(Q223="yes",Q223="no"))),"ready","pending")</x:f>
        <x:v>ready</x:v>
      </x:c>
    </x:row>
    <x:row r="224" ht="44" customHeight="1">
      <x:c r="A224" s="10" t="str">
        <x:v>FMS0718__principal_evidence</x:v>
      </x:c>
      <x:c r="B224" s="11" t="str">
        <x:v>FMS0718</x:v>
      </x:c>
      <x:c r="C224" s="11" t="str">
        <x:v>final_multisource_132</x:v>
      </x:c>
      <x:c r="D224" s="11" t="str">
        <x:v>GapForge: Directed Compiler Fuzzing via Coverage-Gap Analysis</x:v>
      </x:c>
      <x:c r="E224" s="11" t="str">
        <x:v>principal reported evidence output</x:v>
      </x:c>
      <x:c r="F224" s="11" t="str">
        <x:v>single-label</x:v>
      </x:c>
      <x:c r="G224" s="11" t="str">
        <x:v>reproducible validation</x:v>
      </x:c>
      <x:c r="H224" s="11" t="str">
        <x:v>runtime safety signal</x:v>
      </x:c>
      <x:c r="I224" s="11" t="str">
        <x:v>source-linked lead</x:v>
      </x:c>
      <x:c r="J224" s="11" t="str">
        <x:v>https://arxiv.org/pdf/2607.15762 | role p.1; action p.1; feedback p.1; validation p.2; evaluation p.1</x:v>
      </x:c>
      <x:c r="K224" s="11" t="str">
        <x:v>s well as its components. uncovered regions within each file, including the target file • A reproducible package, available in a public reposi- functionality and the required compilation options, and finally tory [40]. synthesizes prompts by integrating these requirements and prompts that previously failed to improve coverage on the II. A PPROACH same target file t</x:v>
      </x:c>
      <x:c r="L224" s="16" t="str">
        <x:v>A source-linked excerpt and locator are supplied as review leads for auditability.</x:v>
      </x:c>
      <x:c r="M224" s="16" t="str">
        <x:v>Select the observable result most directly supporting the main finding. Benchmark ground truth or aggregate CVE counts do not automatically establish externally traceable material.</x:v>
      </x:c>
      <x:c r="N224" s="16" t="str">
        <x:v>reproducible validation</x:v>
      </x:c>
      <x:c r="O224" s="16" t="str">
        <x:v>The cited source supports the selected label reproducible validation as the main observable result reported for the study.</x:v>
      </x:c>
      <x:c r="P224" s="16" t="str">
        <x:v>https://arxiv.org/pdf/2607.15762 | role p.1; action p.1; feedback p.1; validation p.2; evaluation p.1</x:v>
      </x:c>
      <x:c r="Q224" s="16" t="str">
        <x:v>no</x:v>
      </x:c>
      <x:c r="R224" s="11" t="str"/>
      <x:c r="S224" s="11" t="str">
        <x:v>2026-08-12</x:v>
      </x:c>
      <x:c r="T224" s="18" t="str">
        <x:f>IF(OR(AND(N224="unresolved",LEN(O224)&gt;0,LEN(P224)&gt;0,Q224="yes"),AND(LEN(N224)&gt;0,LEN(O224)&gt;0,LEN(P224)&gt;0,OR(Q224="yes",Q224="no"))),"ready","pending")</x:f>
        <x:v>ready</x:v>
      </x:c>
    </x:row>
    <x:row r="225" ht="44" customHeight="1">
      <x:c r="A225" s="10" t="str">
        <x:v>FMS0718__external_traceability</x:v>
      </x:c>
      <x:c r="B225" s="11" t="str">
        <x:v>FMS0718</x:v>
      </x:c>
      <x:c r="C225" s="11" t="str">
        <x:v>final_multisource_132</x:v>
      </x:c>
      <x:c r="D225" s="11" t="str">
        <x:v>GapForge: Directed Compiler Fuzzing via Coverage-Gap Analysis</x:v>
      </x:c>
      <x:c r="E225" s="11" t="str">
        <x:v>external traceability</x:v>
      </x:c>
      <x:c r="F225" s="11" t="str">
        <x:v>single-label</x:v>
      </x:c>
      <x:c r="G225" s="11" t="str">
        <x:v>benchmark ground truth / public material</x:v>
      </x:c>
      <x:c r="H225" s="11" t="str">
        <x:v>no external trace reported</x:v>
      </x:c>
      <x:c r="I225" s="11" t="str">
        <x:v>source-linked lead</x:v>
      </x:c>
      <x:c r="J225" s="11" t="str">
        <x:v>https://arxiv.org/pdf/2607.15762 | role p.1; action p.1; feedback p.1; validation p.2; evaluation p.1</x:v>
      </x:c>
      <x:c r="K225" s="11" t="str">
        <x:v>e, coverage-aware guidance. They mainly aim to generate we conducted extensive experiments on GCC 14.3.0 and LLVM diverse or bug-triggering inputs, but do not explicitly identify 19.1.0. The results show that GapForge significantly outperforms uncovered compiler files or code regions. Consequently, gener- eight state-of-the-art techniques, demonstrating its effectiv</x:v>
      </x:c>
      <x:c r="L225" s="16" t="str">
        <x:v>A source-linked excerpt and locator are supplied as review leads for auditability.</x:v>
      </x:c>
      <x:c r="M225" s="16" t="str">
        <x:v>Code separately from principal output. Only item-level alignment between a concrete system result and a specific public external record qualifies as publicly aligned external trace.</x:v>
      </x:c>
      <x:c r="N225" s="16" t="str">
        <x:v>benchmark ground truth / public material</x:v>
      </x:c>
      <x:c r="O225" s="16" t="str">
        <x:v>The cited source supports the selected label benchmark ground truth / public material under the codebook's item-level public-record alignment criterion.</x:v>
      </x:c>
      <x:c r="P225" s="16" t="str">
        <x:v>https://arxiv.org/pdf/2607.15762 | role p.1; action p.1; feedback p.1; validation p.2; evaluation p.1</x:v>
      </x:c>
      <x:c r="Q225" s="16" t="str">
        <x:v>no</x:v>
      </x:c>
      <x:c r="R225" s="11" t="str"/>
      <x:c r="S225" s="11" t="str">
        <x:v>2026-08-12</x:v>
      </x:c>
      <x:c r="T225" s="18" t="str">
        <x:f>IF(OR(AND(N225="unresolved",LEN(O225)&gt;0,LEN(P225)&gt;0,Q225="yes"),AND(LEN(N225)&gt;0,LEN(O225)&gt;0,LEN(P225)&gt;0,OR(Q225="yes",Q225="no"))),"ready","pending")</x:f>
        <x:v>ready</x:v>
      </x:c>
    </x:row>
    <x:row r="226" ht="44" customHeight="1">
      <x:c r="A226" s="10" t="str">
        <x:v>FMS0733__lifecycle</x:v>
      </x:c>
      <x:c r="B226" s="11" t="str">
        <x:v>FMS0733</x:v>
      </x:c>
      <x:c r="C226" s="11" t="str">
        <x:v>final_multisource_132</x:v>
      </x:c>
      <x:c r="D226" s="11" t="str">
        <x:v>GoAT-X: A Graph of Auditing Thoughts for Securing Token Transactions in Cross-Chain Contracts</x:v>
      </x:c>
      <x:c r="E226" s="11" t="str">
        <x:v>lifecycle coverage</x:v>
      </x:c>
      <x:c r="F226" s="11" t="str">
        <x:v>multi-label</x:v>
      </x:c>
      <x:c r="G226" s="11" t="str">
        <x:v>candidate analysis;execution observation;reporting and audit</x:v>
      </x:c>
      <x:c r="H226" s="11" t="str">
        <x:v>candidate analysis;reporting and audit</x:v>
      </x:c>
      <x:c r="I226" s="11" t="str">
        <x:v>source-linked lead</x:v>
      </x:c>
      <x:c r="J226" s="11" t="str">
        <x:v>https://arxiv.org/pdf/2604.24341 | role p.1; action p.1; feedback p.1; validation p.1; evaluation p.1</x:v>
      </x:c>
      <x:c r="K226" s="11" t="str">
        <x:v>e protocols remains challenging. Manual au- of cross-chain interactions, while LLM-based approaches, which diting is unscalable, while automated bytecode analysis suffers can understand source code, struggle with hallucinatory reason-</x:v>
      </x:c>
      <x:c r="L226" s="16" t="str">
        <x:v>A source-linked excerpt and locator are supplied as review leads for auditability.</x:v>
      </x:c>
      <x:c r="M226" s="16" t="str">
        <x:v>Mark only observable lifecycle actions or outputs. Reporting and audit requires explicit packaging, routing, disclosure, or audit transition; a report name alone is insufficient.</x:v>
      </x:c>
      <x:c r="N226" s="16" t="str">
        <x:v>candidate analysis;execution observation;reporting and audit</x:v>
      </x:c>
      <x:c r="O226" s="16" t="str">
        <x:v>The cited source supports the selected label candidate analysis;execution observation;reporting and audit; only observable workflow actions or outputs were retained.</x:v>
      </x:c>
      <x:c r="P226" s="16" t="str">
        <x:v>https://arxiv.org/pdf/2604.24341 | role p.1; action p.1; feedback p.1; validation p.1; evaluation p.1</x:v>
      </x:c>
      <x:c r="Q226" s="16" t="str">
        <x:v>no</x:v>
      </x:c>
      <x:c r="R226" s="11" t="str"/>
      <x:c r="S226" s="11" t="str">
        <x:v>2026-08-12</x:v>
      </x:c>
      <x:c r="T226" s="18" t="str">
        <x:f>IF(OR(AND(N226="unresolved",LEN(O226)&gt;0,LEN(P226)&gt;0,Q226="yes"),AND(LEN(N226)&gt;0,LEN(O226)&gt;0,LEN(P226)&gt;0,OR(Q226="yes",Q226="no"))),"ready","pending")</x:f>
        <x:v>ready</x:v>
      </x:c>
    </x:row>
    <x:row r="227" ht="44" customHeight="1">
      <x:c r="A227" s="10" t="str">
        <x:v>FMS0733__capability</x:v>
      </x:c>
      <x:c r="B227" s="11" t="str">
        <x:v>FMS0733</x:v>
      </x:c>
      <x:c r="C227" s="11" t="str">
        <x:v>final_multisource_132</x:v>
      </x:c>
      <x:c r="D227" s="11" t="str">
        <x:v>GoAT-X: A Graph of Auditing Thoughts for Securing Token Transactions in Cross-Chain Contracts</x:v>
      </x:c>
      <x:c r="E227" s="11" t="str">
        <x:v>cross-stage capability</x:v>
      </x:c>
      <x:c r="F227" s="11" t="str">
        <x:v>multi-label</x:v>
      </x:c>
      <x:c r="G227" s="11" t="str">
        <x:v>context aggregation / rule extraction;feedback interpretation / loop adjustment;long-horizon state management;tool routing / strategy routing</x:v>
      </x:c>
      <x:c r="H227" s="11" t="str">
        <x:v>context aggregation / rule extraction;long-horizon state management;tool routing / strategy routing;validation organization / evidence packaging</x:v>
      </x:c>
      <x:c r="I227" s="11" t="str">
        <x:v>source-linked lead</x:v>
      </x:c>
      <x:c r="J227" s="11" t="str">
        <x:v>https://arxiv.org/pdf/2604.24341 | role p.1; action p.1; feedback p.1; validation p.1; evaluation p.1</x:v>
      </x:c>
      <x:c r="K227" s="11" t="str">
        <x:v>ale of cross-chain codebases, which necessitates tracking audit points and 95% coverage of vulnerable projects, while subtle state dependencies across massive, heterogeneous con- identifying 117 confirmed risks in the wild with low operational tract networks to verify security properties effectively. cost, establishing a new standar</x:v>
      </x:c>
      <x:c r="L227" s="16" t="str">
        <x:v>A source-linked excerpt and locator are supplied as review leads for auditability.</x:v>
      </x:c>
      <x:c r="M227" s="16" t="str">
        <x:v>Require an explicit cross-stage connection. Information must guide later action; feedback must alter later action; packaging must assemble prior outputs; governance must enforce an actual gate.</x:v>
      </x:c>
      <x:c r="N227" s="16" t="str">
        <x:v>context aggregation / rule extraction;tool routing / strategy routing;feedback interpretation / loop adjustment;long-horizon state management</x:v>
      </x:c>
      <x:c r="O227"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227" s="16" t="str">
        <x:v>https://arxiv.org/pdf/2604.24341 | role p.1; action p.1; feedback p.1; validation p.1; evaluation p.1</x:v>
      </x:c>
      <x:c r="Q227" s="16" t="str">
        <x:v>no</x:v>
      </x:c>
      <x:c r="R227" s="11" t="str"/>
      <x:c r="S227" s="11" t="str">
        <x:v>2026-08-12</x:v>
      </x:c>
      <x:c r="T227" s="18" t="str">
        <x:f>IF(OR(AND(N227="unresolved",LEN(O227)&gt;0,LEN(P227)&gt;0,Q227="yes"),AND(LEN(N227)&gt;0,LEN(O227)&gt;0,LEN(P227)&gt;0,OR(Q227="yes",Q227="no"))),"ready","pending")</x:f>
        <x:v>ready</x:v>
      </x:c>
    </x:row>
    <x:row r="228" ht="44" customHeight="1">
      <x:c r="A228" s="10" t="str">
        <x:v>FMS0734__lifecycle</x:v>
      </x:c>
      <x:c r="B228" s="11" t="str">
        <x:v>FMS0734</x:v>
      </x:c>
      <x:c r="C228" s="11" t="str">
        <x:v>final_multisource_132</x:v>
      </x:c>
      <x:c r="D228" s="11" t="str">
        <x:v>GPTScan: Detecting Logic Vulnerabilities in Smart Contracts by Combining GPT with Program Analysis</x:v>
      </x:c>
      <x:c r="E228" s="11" t="str">
        <x:v>lifecycle coverage</x:v>
      </x:c>
      <x:c r="F228" s="11" t="str">
        <x:v>multi-label</x:v>
      </x:c>
      <x:c r="G228" s="11" t="str">
        <x:v>candidate analysis;execution observation</x:v>
      </x:c>
      <x:c r="H228" s="11" t="str">
        <x:v>candidate analysis;reporting and audit</x:v>
      </x:c>
      <x:c r="I228" s="11" t="str">
        <x:v>source-linked lead</x:v>
      </x:c>
      <x:c r="J228" s="11" t="str">
        <x:v>https://arxiv.org/pdf/2308.03314 | role p.1; action p.1; feedback p.4; validation p.1; evaluation p.1</x:v>
      </x:c>
      <x:c r="K228" s="11" t="str">
        <x:v>e study conducted by Zhang et al. [65] on Web3 security bugs re- Models (LLMs), it is worth exploring how Generative Pre-training veals that around 80% of these vulnerabilities remain undetected</x:v>
      </x:c>
      <x:c r="L228" s="16" t="str">
        <x:v>A source-linked excerpt and locator are supplied as review leads for auditability.</x:v>
      </x:c>
      <x:c r="M228" s="16" t="str">
        <x:v>Mark only observable lifecycle actions or outputs. Reporting and audit requires explicit packaging, routing, disclosure, or audit transition; a report name alone is insufficient.</x:v>
      </x:c>
      <x:c r="N228" s="16" t="str">
        <x:v>candidate analysis;execution observation</x:v>
      </x:c>
      <x:c r="O228" s="16" t="str">
        <x:v>The cited source supports the selected label candidate analysis;execution observation; only observable workflow actions or outputs were retained.</x:v>
      </x:c>
      <x:c r="P228" s="16" t="str">
        <x:v>https://arxiv.org/pdf/2308.03314 | role p.1; action p.1; feedback p.4; validation p.1; evaluation p.1</x:v>
      </x:c>
      <x:c r="Q228" s="16" t="str">
        <x:v>no</x:v>
      </x:c>
      <x:c r="R228" s="11" t="str"/>
      <x:c r="S228" s="11" t="str">
        <x:v>2026-08-12</x:v>
      </x:c>
      <x:c r="T228" s="18" t="str">
        <x:f>IF(OR(AND(N228="unresolved",LEN(O228)&gt;0,LEN(P228)&gt;0,Q228="yes"),AND(LEN(N228)&gt;0,LEN(O228)&gt;0,LEN(P228)&gt;0,OR(Q228="yes",Q228="no"))),"ready","pending")</x:f>
        <x:v>ready</x:v>
      </x:c>
    </x:row>
    <x:row r="229" ht="44" customHeight="1">
      <x:c r="A229" s="10" t="str">
        <x:v>FMS0741__lifecycle</x:v>
      </x:c>
      <x:c r="B229" s="11" t="str">
        <x:v>FMS0741</x:v>
      </x:c>
      <x:c r="C229" s="11" t="str">
        <x:v>final_multisource_132</x:v>
      </x:c>
      <x:c r="D229" s="11" t="str">
        <x:v>Guided Reasoning in LLM-Driven Penetration Testing Using Structured Attack Trees</x:v>
      </x:c>
      <x:c r="E229" s="11" t="str">
        <x:v>lifecycle coverage</x:v>
      </x:c>
      <x:c r="F229" s="11" t="str">
        <x:v>multi-label</x:v>
      </x:c>
      <x:c r="G229" s="11" t="str">
        <x:v>execution observation;path and input exploration;reporting and audit</x:v>
      </x:c>
      <x:c r="H229" s="11" t="str">
        <x:v>candidate analysis;execution observation;path and input exploration;reporting and audit</x:v>
      </x:c>
      <x:c r="I229" s="11" t="str">
        <x:v>source-linked lead</x:v>
      </x:c>
      <x:c r="J229" s="11" t="str">
        <x:v>https://arxiv.org/pdf/2509.07939 | role p.1; action p.1; feedback p.4; evaluation p.2</x:v>
      </x:c>
      <x:c r="K229" s="11" t="str">
        <x:v>onsistent vulnerability assessment for enter- prise systems. Existing LLM agents for penetration testing primarily rely on self-guided reasoning, which can produce inaccurate or hallucinated procedural steps. As</x:v>
      </x:c>
      <x:c r="L229" s="16" t="str">
        <x:v>A source-linked excerpt and locator are supplied as review leads for auditability.</x:v>
      </x:c>
      <x:c r="M229" s="16" t="str">
        <x:v>Mark only observable lifecycle actions or outputs. Reporting and audit requires explicit packaging, routing, disclosure, or audit transition; a report name alone is insufficient.</x:v>
      </x:c>
      <x:c r="N229" s="16" t="str">
        <x:v>path and input exploration;execution observation;reporting and audit</x:v>
      </x:c>
      <x:c r="O229" s="16" t="str">
        <x:v>The cited source supports the selected label path and input exploration;execution observation;reporting and audit; only observable workflow actions or outputs were retained.</x:v>
      </x:c>
      <x:c r="P229" s="16" t="str">
        <x:v>https://arxiv.org/pdf/2509.07939 | role p.1; action p.1; feedback p.4; evaluation p.2</x:v>
      </x:c>
      <x:c r="Q229" s="16" t="str">
        <x:v>no</x:v>
      </x:c>
      <x:c r="R229" s="11" t="str"/>
      <x:c r="S229" s="11" t="str">
        <x:v>2026-08-12</x:v>
      </x:c>
      <x:c r="T229" s="18" t="str">
        <x:f>IF(OR(AND(N229="unresolved",LEN(O229)&gt;0,LEN(P229)&gt;0,Q229="yes"),AND(LEN(N229)&gt;0,LEN(O229)&gt;0,LEN(P229)&gt;0,OR(Q229="yes",Q229="no"))),"ready","pending")</x:f>
        <x:v>ready</x:v>
      </x:c>
    </x:row>
    <x:row r="230" ht="44" customHeight="1">
      <x:c r="A230" s="10" t="str">
        <x:v>FMS0741__capability</x:v>
      </x:c>
      <x:c r="B230" s="11" t="str">
        <x:v>FMS0741</x:v>
      </x:c>
      <x:c r="C230" s="11" t="str">
        <x:v>final_multisource_132</x:v>
      </x:c>
      <x:c r="D230" s="11" t="str">
        <x:v>Guided Reasoning in LLM-Driven Penetration Testing Using Structured Attack Trees</x:v>
      </x:c>
      <x:c r="E230" s="11" t="str">
        <x:v>cross-stage capability</x:v>
      </x:c>
      <x:c r="F230" s="11" t="str">
        <x:v>multi-label</x:v>
      </x:c>
      <x:c r="G230" s="11" t="str">
        <x:v>context aggregation / rule extraction;failure reuse / strategy update;feedback interpretation / loop adjustment;long-horizon state management;tool routing / strategy routing</x:v>
      </x:c>
      <x:c r="H230" s="11" t="str">
        <x:v>context aggregation / rule extraction;feedback interpretation / loop adjustment;long-horizon state management;tool routing / strategy routing;validation organization / evidence packaging</x:v>
      </x:c>
      <x:c r="I230" s="11" t="str">
        <x:v>source-linked lead</x:v>
      </x:c>
      <x:c r="J230" s="11" t="str">
        <x:v>https://arxiv.org/pdf/2509.07939 | role p.1; action p.1; feedback p.4; evaluation p.2</x:v>
      </x:c>
      <x:c r="K230" s="11" t="str">
        <x:v>3 Published as a conference paper at COLM 2025 identify and exploit vulnerabilities, while also providing a closed-feedback loop to enhance penetration testing effectiveness. (Huang &amp; Zhu, 2024) introduces a two-stage LLM-based framework that autonomously identifies vulnerabilities and recommends optimal reme- diation strategies. One limitation of these models is that LLMs cause hallucinations and lead to the generation of incorrect commands (i.e., generation of non-existent mod</x:v>
      </x:c>
      <x:c r="L230" s="16" t="str">
        <x:v>A source-linked excerpt and locator are supplied as review leads for auditability.</x:v>
      </x:c>
      <x:c r="M230" s="16" t="str">
        <x:v>Require an explicit cross-stage connection. Information must guide later action; feedback must alter later action; packaging must assemble prior outputs; governance must enforce an actual gate.</x:v>
      </x:c>
      <x:c r="N230" s="16" t="str">
        <x:v>context aggregation / rule extraction;tool routing / strategy routing;feedback interpretation / loop adjustment;long-horizon state management;failure reuse / strategy update</x:v>
      </x:c>
      <x:c r="O230" s="16" t="str">
        <x:v>The cited source supports the selected label context aggregation / rule extraction;tool routing / strategy routing;feedback interpretation / loop adjustment;long-horizon state management;failure reuse / strategy update; each retained label requires an explicit connection that guides later action, feedback, packaging, or a gate.</x:v>
      </x:c>
      <x:c r="P230" s="16" t="str">
        <x:v>https://arxiv.org/pdf/2509.07939 | role p.1; action p.1; feedback p.4; evaluation p.2</x:v>
      </x:c>
      <x:c r="Q230" s="16" t="str">
        <x:v>no</x:v>
      </x:c>
      <x:c r="R230" s="11" t="str"/>
      <x:c r="S230" s="11" t="str">
        <x:v>2026-08-12</x:v>
      </x:c>
      <x:c r="T230" s="18" t="str">
        <x:f>IF(OR(AND(N230="unresolved",LEN(O230)&gt;0,LEN(P230)&gt;0,Q230="yes"),AND(LEN(N230)&gt;0,LEN(O230)&gt;0,LEN(P230)&gt;0,OR(Q230="yes",Q230="no"))),"ready","pending")</x:f>
        <x:v>ready</x:v>
      </x:c>
    </x:row>
    <x:row r="231" ht="44" customHeight="1">
      <x:c r="A231" s="10" t="str">
        <x:v>FMS0747__lifecycle</x:v>
      </x:c>
      <x:c r="B231" s="11" t="str">
        <x:v>FMS0747</x:v>
      </x:c>
      <x:c r="C231" s="11" t="str">
        <x:v>final_multisource_132</x:v>
      </x:c>
      <x:c r="D231" s="11" t="str">
        <x:v>HackSynth: LLM Agent and Evaluation Framework for Autonomous Penetration Testing</x:v>
      </x:c>
      <x:c r="E231" s="11" t="str">
        <x:v>lifecycle coverage</x:v>
      </x:c>
      <x:c r="F231" s="11" t="str">
        <x:v>multi-label</x:v>
      </x:c>
      <x:c r="G231" s="11" t="str">
        <x:v>execution observation;path and input exploration;reporting and audit</x:v>
      </x:c>
      <x:c r="H231" s="11" t="str">
        <x:v>candidate analysis;execution observation;path and input exploration;reporting and audit</x:v>
      </x:c>
      <x:c r="I231" s="11" t="str">
        <x:v>source-linked lead</x:v>
      </x:c>
      <x:c r="J231" s="11" t="str">
        <x:v>https://arxiv.org/pdf/2412.01778 | role p.1; action p.1; feedback p.1; validation p.3; evaluation p.1</x:v>
      </x:c>
      <x:c r="K231" s="11" t="str">
        <x:v>uage Models a standardized framework for evaluating LLM-based pene- (LLMs) have demonstrated remarkable capabilities in under- tration testing agents. Based on these benchmarks, extensive standing and generating human-like text [5], opening new experiments are presented, analyzing the co</x:v>
      </x:c>
      <x:c r="L231" s="16" t="str">
        <x:v>A source-linked excerpt and locator are supplied as review leads for auditability.</x:v>
      </x:c>
      <x:c r="M231" s="16" t="str">
        <x:v>Mark only observable lifecycle actions or outputs. Reporting and audit requires explicit packaging, routing, disclosure, or audit transition; a report name alone is insufficient.</x:v>
      </x:c>
      <x:c r="N231" s="16" t="str">
        <x:v>path and input exploration;execution observation;reporting and audit</x:v>
      </x:c>
      <x:c r="O231" s="16" t="str">
        <x:v>The cited source supports the selected label path and input exploration;execution observation;reporting and audit; only observable workflow actions or outputs were retained.</x:v>
      </x:c>
      <x:c r="P231" s="16" t="str">
        <x:v>https://arxiv.org/pdf/2412.01778 | role p.1; action p.1; feedback p.1; validation p.3; evaluation p.1</x:v>
      </x:c>
      <x:c r="Q231" s="16" t="str">
        <x:v>no</x:v>
      </x:c>
      <x:c r="R231" s="11" t="str"/>
      <x:c r="S231" s="11" t="str">
        <x:v>2026-08-12</x:v>
      </x:c>
      <x:c r="T231" s="18" t="str">
        <x:f>IF(OR(AND(N231="unresolved",LEN(O231)&gt;0,LEN(P231)&gt;0,Q231="yes"),AND(LEN(N231)&gt;0,LEN(O231)&gt;0,LEN(P231)&gt;0,OR(Q231="yes",Q231="no"))),"ready","pending")</x:f>
        <x:v>ready</x:v>
      </x:c>
    </x:row>
    <x:row r="232" ht="44" customHeight="1">
      <x:c r="A232" s="10" t="str">
        <x:v>FMS0747__capability</x:v>
      </x:c>
      <x:c r="B232" s="11" t="str">
        <x:v>FMS0747</x:v>
      </x:c>
      <x:c r="C232" s="11" t="str">
        <x:v>final_multisource_132</x:v>
      </x:c>
      <x:c r="D232" s="11" t="str">
        <x:v>HackSynth: LLM Agent and Evaluation Framework for Autonomous Penetration Testing</x:v>
      </x:c>
      <x:c r="E232" s="11" t="str">
        <x:v>cross-stage capability</x:v>
      </x:c>
      <x:c r="F232" s="11" t="str">
        <x:v>multi-label</x:v>
      </x:c>
      <x:c r="G232" s="11" t="str">
        <x:v>failure reuse / strategy update;feedback interpretation / loop adjustment;long-horizon state management;tool routing / strategy routing</x:v>
      </x:c>
      <x:c r="H232" s="11" t="str">
        <x:v>context aggregation / rule extraction;failure reuse / strategy update;feedback interpretation / loop adjustment;long-horizon state management;tool routing / strategy routing;validation organization / evidence packaging</x:v>
      </x:c>
      <x:c r="I232" s="11" t="str">
        <x:v>source-linked lead</x:v>
      </x:c>
      <x:c r="J232" s="11" t="str">
        <x:v>https://arxiv.org/pdf/2412.01778 | role p.1; action p.1; feedback p.1; validation p.3; evaluation p.1</x:v>
      </x:c>
      <x:c r="K232" s="11" t="str">
        <x:v>scanning tools capable of detecting security vulnerabili- commands and process feedback iteratively. To benchmark ties, misconfigurations, and compliance issues in systems. HackSynth, we propose two new Capture The Flag (CTF)- Despite their utility, these tools lack the adaptability and based benchmark sets utilizing the popular platforms Pi</x:v>
      </x:c>
      <x:c r="L232" s="16" t="str">
        <x:v>A source-linked excerpt and locator are supplied as review leads for auditability.</x:v>
      </x:c>
      <x:c r="M232" s="16" t="str">
        <x:v>Require an explicit cross-stage connection. Information must guide later action; feedback must alter later action; packaging must assemble prior outputs; governance must enforce an actual gate.</x:v>
      </x:c>
      <x:c r="N232" s="16" t="str">
        <x:v>tool routing / strategy routing;feedback interpretation / loop adjustment;long-horizon state management;failure reuse / strategy update</x:v>
      </x:c>
      <x:c r="O232" s="16" t="str">
        <x:v>The cited source supports the selected label tool routing / strategy routing;feedback interpretation / loop adjustment;long-horizon state management;failure reuse / strategy update; each retained label requires an explicit connection that guides later action, feedback, packaging, or a gate.</x:v>
      </x:c>
      <x:c r="P232" s="16" t="str">
        <x:v>https://arxiv.org/pdf/2412.01778 | role p.1; action p.1; feedback p.1; validation p.3; evaluation p.1</x:v>
      </x:c>
      <x:c r="Q232" s="16" t="str">
        <x:v>no</x:v>
      </x:c>
      <x:c r="R232" s="11" t="str"/>
      <x:c r="S232" s="11" t="str">
        <x:v>2026-08-12</x:v>
      </x:c>
      <x:c r="T232" s="18" t="str">
        <x:f>IF(OR(AND(N232="unresolved",LEN(O232)&gt;0,LEN(P232)&gt;0,Q232="yes"),AND(LEN(N232)&gt;0,LEN(O232)&gt;0,LEN(P232)&gt;0,OR(Q232="yes",Q232="no"))),"ready","pending")</x:f>
        <x:v>ready</x:v>
      </x:c>
    </x:row>
    <x:row r="233" ht="44" customHeight="1">
      <x:c r="A233" s="10" t="str">
        <x:v>FMS0753__lifecycle</x:v>
      </x:c>
      <x:c r="B233" s="11" t="str">
        <x:v>FMS0753</x:v>
      </x:c>
      <x:c r="C233" s="11" t="str">
        <x:v>final_multisource_132</x:v>
      </x:c>
      <x:c r="D233" s="11" t="str">
        <x:v>Harnessing Large Language Models for Seed Generation in Greybox Fuzzing</x:v>
      </x:c>
      <x:c r="E233" s="11" t="str">
        <x:v>lifecycle coverage</x:v>
      </x:c>
      <x:c r="F233" s="11" t="str">
        <x:v>multi-label</x:v>
      </x:c>
      <x:c r="G233" s="11" t="str">
        <x:v>execution observation;path and input exploration</x:v>
      </x:c>
      <x:c r="H233" s="11" t="str">
        <x:v>candidate analysis;execution observation;path and input exploration</x:v>
      </x:c>
      <x:c r="I233" s="11" t="str">
        <x:v>source-linked lead</x:v>
      </x:c>
      <x:c r="J233" s="11" t="str">
        <x:v>https://arxiv.org/pdf/2411.18143 | role p.1; action p.1; feedback p.1; validation p.1; evaluation p.1</x:v>
      </x:c>
      <x:c r="K233" s="11" t="str">
        <x:v>Harnessing Large Language Models for Seed Generation in Greybox Fuzzing</x:v>
      </x:c>
      <x:c r="L233" s="16" t="str">
        <x:v>A source-linked excerpt and locator are supplied as review leads for auditability.</x:v>
      </x:c>
      <x:c r="M233" s="16" t="str">
        <x:v>Mark only observable lifecycle actions or outputs. Reporting and audit requires explicit packaging, routing, disclosure, or audit transition; a report name alone is insufficient.</x:v>
      </x:c>
      <x:c r="N233" s="16" t="str">
        <x:v>path and input exploration;execution observation</x:v>
      </x:c>
      <x:c r="O233" s="16" t="str">
        <x:v>The cited source supports the selected label path and input exploration;execution observation; only observable workflow actions or outputs were retained.</x:v>
      </x:c>
      <x:c r="P233" s="16" t="str">
        <x:v>https://arxiv.org/pdf/2411.18143 | role p.1; action p.1; feedback p.1; validation p.1; evaluation p.1</x:v>
      </x:c>
      <x:c r="Q233" s="16" t="str">
        <x:v>no</x:v>
      </x:c>
      <x:c r="R233" s="11" t="str"/>
      <x:c r="S233" s="11" t="str">
        <x:v>2026-08-12</x:v>
      </x:c>
      <x:c r="T233" s="18" t="str">
        <x:f>IF(OR(AND(N233="unresolved",LEN(O233)&gt;0,LEN(P233)&gt;0,Q233="yes"),AND(LEN(N233)&gt;0,LEN(O233)&gt;0,LEN(P233)&gt;0,OR(Q233="yes",Q233="no"))),"ready","pending")</x:f>
        <x:v>ready</x:v>
      </x:c>
    </x:row>
    <x:row r="234" ht="44" customHeight="1">
      <x:c r="A234" s="10" t="str">
        <x:v>FMS0753__capability</x:v>
      </x:c>
      <x:c r="B234" s="11" t="str">
        <x:v>FMS0753</x:v>
      </x:c>
      <x:c r="C234" s="11" t="str">
        <x:v>final_multisource_132</x:v>
      </x:c>
      <x:c r="D234" s="11" t="str">
        <x:v>Harnessing Large Language Models for Seed Generation in Greybox Fuzzing</x:v>
      </x:c>
      <x:c r="E234" s="11" t="str">
        <x:v>cross-stage capability</x:v>
      </x:c>
      <x:c r="F234" s="11" t="str">
        <x:v>multi-label</x:v>
      </x:c>
      <x:c r="G234" s="11" t="str">
        <x:v>context aggregation / rule extraction;failure reuse / strategy update;feedback interpretation / loop adjustment</x:v>
      </x:c>
      <x:c r="H234" s="11" t="str">
        <x:v>context aggregation / rule extraction;failure reuse / strategy update;feedback interpretation / loop adjustment;tool routing / strategy routing</x:v>
      </x:c>
      <x:c r="I234" s="11" t="str">
        <x:v>source-linked lead</x:v>
      </x:c>
      <x:c r="J234" s="11" t="str">
        <x:v>https://arxiv.org/pdf/2411.18143 | role p.1; action p.1; feedback p.1; validation p.1; evaluation p.1</x:v>
      </x:c>
      <x:c r="K234" s="11" t="str">
        <x:v>effortless seed preparation. test cases. Our approach implements an iterative, feedback-driven Many LLMs (GitHub Copilot [16], Amazon CodeWhisperer [3], process that guides the LLM to progressively refine test case gen- OpenAI’s GPT series [41], Anthropic’s Claude series [1], etc.), after eration, aiming for increased code coverage depth and br</x:v>
      </x:c>
      <x:c r="L234" s="16" t="str">
        <x:v>A source-linked excerpt and locator are supplied as review leads for auditability.</x:v>
      </x:c>
      <x:c r="M234" s="16" t="str">
        <x:v>Require an explicit cross-stage connection. Information must guide later action; feedback must alter later action; packaging must assemble prior outputs; governance must enforce an actual gate.</x:v>
      </x:c>
      <x:c r="N234" s="16" t="str">
        <x:v>context aggregation / rule extraction;feedback interpretation / loop adjustment;failure reuse / strategy update</x:v>
      </x:c>
      <x:c r="O234" s="16" t="str">
        <x:v>The cited source supports the selected label context aggregation / rule extraction;feedback interpretation / loop adjustment;failure reuse / strategy update; each retained label requires an explicit connection that guides later action, feedback, packaging, or a gate.</x:v>
      </x:c>
      <x:c r="P234" s="16" t="str">
        <x:v>https://arxiv.org/pdf/2411.18143 | role p.1; action p.1; feedback p.1; validation p.1; evaluation p.1</x:v>
      </x:c>
      <x:c r="Q234" s="16" t="str">
        <x:v>no</x:v>
      </x:c>
      <x:c r="R234" s="11" t="str"/>
      <x:c r="S234" s="11" t="str">
        <x:v>2026-08-12</x:v>
      </x:c>
      <x:c r="T234" s="18" t="str">
        <x:f>IF(OR(AND(N234="unresolved",LEN(O234)&gt;0,LEN(P234)&gt;0,Q234="yes"),AND(LEN(N234)&gt;0,LEN(O234)&gt;0,LEN(P234)&gt;0,OR(Q234="yes",Q234="no"))),"ready","pending")</x:f>
        <x:v>ready</x:v>
      </x:c>
    </x:row>
    <x:row r="235" ht="44" customHeight="1">
      <x:c r="A235" s="10" t="str">
        <x:v>FMS0753__external_traceability</x:v>
      </x:c>
      <x:c r="B235" s="11" t="str">
        <x:v>FMS0753</x:v>
      </x:c>
      <x:c r="C235" s="11" t="str">
        <x:v>final_multisource_132</x:v>
      </x:c>
      <x:c r="D235" s="11" t="str">
        <x:v>Harnessing Large Language Models for Seed Generation in Greybox Fuzzing</x:v>
      </x:c>
      <x:c r="E235" s="11" t="str">
        <x:v>external traceability</x:v>
      </x:c>
      <x:c r="F235" s="11" t="str">
        <x:v>single-label</x:v>
      </x:c>
      <x:c r="G235" s="11" t="str">
        <x:v>benchmark ground truth / public material</x:v>
      </x:c>
      <x:c r="H235" s="11" t="str">
        <x:v>no external trace reported</x:v>
      </x:c>
      <x:c r="I235" s="11" t="str">
        <x:v>source-linked lead</x:v>
      </x:c>
      <x:c r="J235" s="11" t="str">
        <x:v>https://arxiv.org/pdf/2411.18143 | role p.1; action p.1; feedback p.1; validation p.1; evaluation p.1</x:v>
      </x:c>
      <x:c r="K235" s="11" t="str">
        <x:v>ation, etc.) [6, 33, 39, 54]. A consistent, progress-aware behavior. Intensive evaluations with straightforward application of the technology would be to run an real-world applications show that SeedMind effectively harnesses LLM to analyze the target program for fuzzing and generate the LLMs to generate high-quality test cases and facilitate fuzzing in</x:v>
      </x:c>
      <x:c r="L235" s="16" t="str">
        <x:v>A source-linked excerpt and locator are supplied as review leads for auditability.</x:v>
      </x:c>
      <x:c r="M235" s="16" t="str">
        <x:v>Code separately from principal output. Only item-level alignment between a concrete system result and a specific public external record qualifies as publicly aligned external trace.</x:v>
      </x:c>
      <x:c r="N235" s="16" t="str">
        <x:v>benchmark ground truth / public material</x:v>
      </x:c>
      <x:c r="O235" s="16" t="str">
        <x:v>The cited source supports the selected label benchmark ground truth / public material under the codebook's item-level public-record alignment criterion.</x:v>
      </x:c>
      <x:c r="P235" s="16" t="str">
        <x:v>https://arxiv.org/pdf/2411.18143 | role p.1; action p.1; feedback p.1; validation p.1; evaluation p.1</x:v>
      </x:c>
      <x:c r="Q235" s="16" t="str">
        <x:v>no</x:v>
      </x:c>
      <x:c r="R235" s="11" t="str"/>
      <x:c r="S235" s="11" t="str">
        <x:v>2026-08-12</x:v>
      </x:c>
      <x:c r="T235" s="18" t="str">
        <x:f>IF(OR(AND(N235="unresolved",LEN(O235)&gt;0,LEN(P235)&gt;0,Q235="yes"),AND(LEN(N235)&gt;0,LEN(O235)&gt;0,LEN(P235)&gt;0,OR(Q235="yes",Q235="no"))),"ready","pending")</x:f>
        <x:v>ready</x:v>
      </x:c>
    </x:row>
    <x:row r="236" ht="44" customHeight="1">
      <x:c r="A236" s="10" t="str">
        <x:v>FMS0768__capability</x:v>
      </x:c>
      <x:c r="B236" s="11" t="str">
        <x:v>FMS0768</x:v>
      </x:c>
      <x:c r="C236" s="11" t="str">
        <x:v>final_multisource_132</x:v>
      </x:c>
      <x:c r="D236" s="11" t="str">
        <x:v>Hound: Relation-First Knowledge Graphs for Complex-System Reasoning in Security Audits</x:v>
      </x:c>
      <x:c r="E236" s="11" t="str">
        <x:v>cross-stage capability</x:v>
      </x:c>
      <x:c r="F236" s="11" t="str">
        <x:v>multi-label</x:v>
      </x:c>
      <x:c r="G236" s="11" t="str">
        <x:v>context aggregation / rule extraction;feedback interpretation / loop adjustment;long-horizon state management;tool routing / strategy routing</x:v>
      </x:c>
      <x:c r="H236" s="11" t="str">
        <x:v>context aggregation / rule extraction;long-horizon state management;validation organization / evidence packaging</x:v>
      </x:c>
      <x:c r="I236" s="11" t="str">
        <x:v>source-linked lead</x:v>
      </x:c>
      <x:c r="J236" s="11" t="str">
        <x:v>https://arxiv.org/pdf/2510.09633 | role p.1; action p.1; feedback p.1; validation p.1; evaluation p.11</x:v>
      </x:c>
      <x:c r="K236" s="11" t="str">
        <x:v>theses whose confidence is updated as evidence accrues. The agent employs coverage-versus-intuition planning and a QA finalizer to confirm or reject hypotheses. On a five-project subset of ScaBench[1], Hound improves recall and F1 over a baseline LLM analyzer (micro recall 31.2% vs. 8.3%; F1 14.2% vs. 9.8%) with a modest precision trade-off. We att</x:v>
      </x:c>
      <x:c r="L236" s="16" t="str">
        <x:v>A source-linked excerpt and locator are supplied as review leads for auditability.</x:v>
      </x:c>
      <x:c r="M236" s="16" t="str">
        <x:v>Require an explicit cross-stage connection. Information must guide later action; feedback must alter later action; packaging must assemble prior outputs; governance must enforce an actual gate.</x:v>
      </x:c>
      <x:c r="N236" s="16" t="str">
        <x:v>context aggregation / rule extraction;tool routing / strategy routing;feedback interpretation / loop adjustment;long-horizon state management</x:v>
      </x:c>
      <x:c r="O236"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236" s="16" t="str">
        <x:v>https://arxiv.org/pdf/2510.09633 | role p.1; action p.1; feedback p.1; validation p.1; evaluation p.11</x:v>
      </x:c>
      <x:c r="Q236" s="16" t="str">
        <x:v>no</x:v>
      </x:c>
      <x:c r="R236" s="11" t="str"/>
      <x:c r="S236" s="11" t="str">
        <x:v>2026-08-12</x:v>
      </x:c>
      <x:c r="T236" s="18" t="str">
        <x:f>IF(OR(AND(N236="unresolved",LEN(O236)&gt;0,LEN(P236)&gt;0,Q236="yes"),AND(LEN(N236)&gt;0,LEN(O236)&gt;0,LEN(P236)&gt;0,OR(Q236="yes",Q236="no"))),"ready","pending")</x:f>
        <x:v>ready</x:v>
      </x:c>
    </x:row>
    <x:row r="237" ht="44" customHeight="1">
      <x:c r="A237" s="10" t="str">
        <x:v>FMS0842__lifecycle</x:v>
      </x:c>
      <x:c r="B237" s="11" t="str">
        <x:v>FMS0842</x:v>
      </x:c>
      <x:c r="C237" s="11" t="str">
        <x:v>final_multisource_132</x:v>
      </x:c>
      <x:c r="D237" s="11" t="str">
        <x:v>Knowledge-Informed Self-Reflective Automated Penetration Testing Based on LLMs</x:v>
      </x:c>
      <x:c r="E237" s="11" t="str">
        <x:v>lifecycle coverage</x:v>
      </x:c>
      <x:c r="F237" s="11" t="str">
        <x:v>multi-label</x:v>
      </x:c>
      <x:c r="G237" s="11" t="str">
        <x:v>execution observation;path and input exploration;reporting and audit</x:v>
      </x:c>
      <x:c r="H237" s="11" t="str">
        <x:v>candidate analysis;execution observation;path and input exploration;reporting and audit</x:v>
      </x:c>
      <x:c r="I237" s="11" t="str">
        <x:v>source-linked lead</x:v>
      </x:c>
      <x:c r="J237" s="11" t="str">
        <x:v>https://spectrum.library.concordia.ca/id/eprint/996544/1/Dai_MA_F2025.pdf | role p.3; action p.11; feedback p.3; validation p.3; evaluation p.3</x:v>
      </x:c>
      <x:c r="K237" s="11" t="str">
        <x:v>To address these limitations, we propose RefPentester, a knowledge-informed, self-reflective AutoPT framework built on LLMs that enables context-aware, adaptive, and interpretable auto- mated workflows across multi-stage PT processes. RefPentester integrates three main components: 1) a Proces</x:v>
      </x:c>
      <x:c r="L237" s="16" t="str">
        <x:v>A source-linked excerpt and locator are supplied as review leads for auditability.</x:v>
      </x:c>
      <x:c r="M237" s="16" t="str">
        <x:v>Mark only observable lifecycle actions or outputs. Reporting and audit requires explicit packaging, routing, disclosure, or audit transition; a report name alone is insufficient.</x:v>
      </x:c>
      <x:c r="N237" s="16" t="str">
        <x:v>path and input exploration;execution observation;reporting and audit</x:v>
      </x:c>
      <x:c r="O237" s="16" t="str">
        <x:v>The cited source supports the selected label path and input exploration;execution observation;reporting and audit; only observable workflow actions or outputs were retained.</x:v>
      </x:c>
      <x:c r="P237" s="16" t="str">
        <x:v>https://spectrum.library.concordia.ca/id/eprint/996544/1/Dai_MA_F2025.pdf | role p.3; action p.11; feedback p.3; validation p.3; evaluation p.3</x:v>
      </x:c>
      <x:c r="Q237" s="16" t="str">
        <x:v>no</x:v>
      </x:c>
      <x:c r="R237" s="11" t="str"/>
      <x:c r="S237" s="11" t="str">
        <x:v>2026-08-12</x:v>
      </x:c>
      <x:c r="T237" s="18" t="str">
        <x:f>IF(OR(AND(N237="unresolved",LEN(O237)&gt;0,LEN(P237)&gt;0,Q237="yes"),AND(LEN(N237)&gt;0,LEN(O237)&gt;0,LEN(P237)&gt;0,OR(Q237="yes",Q237="no"))),"ready","pending")</x:f>
        <x:v>ready</x:v>
      </x:c>
    </x:row>
    <x:row r="238" ht="44" customHeight="1">
      <x:c r="A238" s="10" t="str">
        <x:v>FMS0842__capability</x:v>
      </x:c>
      <x:c r="B238" s="11" t="str">
        <x:v>FMS0842</x:v>
      </x:c>
      <x:c r="C238" s="11" t="str">
        <x:v>final_multisource_132</x:v>
      </x:c>
      <x:c r="D238" s="11" t="str">
        <x:v>Knowledge-Informed Self-Reflective Automated Penetration Testing Based on LLMs</x:v>
      </x:c>
      <x:c r="E238" s="11" t="str">
        <x:v>cross-stage capability</x:v>
      </x:c>
      <x:c r="F238" s="11" t="str">
        <x:v>multi-label</x:v>
      </x:c>
      <x:c r="G238" s="11" t="str">
        <x:v>context aggregation / rule extraction;failure reuse / strategy update;feedback interpretation / loop adjustment;long-horizon state management;tool routing / strategy routing</x:v>
      </x:c>
      <x:c r="H238" s="11" t="str">
        <x:v>context aggregation / rule extraction;failure reuse / strategy update;feedback interpretation / loop adjustment;long-horizon state management;tool routing / strategy routing;validation organization / evidence packaging</x:v>
      </x:c>
      <x:c r="I238" s="11" t="str">
        <x:v>source-linked lead</x:v>
      </x:c>
      <x:c r="J238" s="11" t="str">
        <x:v>https://spectrum.library.concordia.ca/id/eprint/996544/1/Dai_MA_F2025.pdf | role p.3; action p.11; feedback p.3; validation p.3; evaluation p.3</x:v>
      </x:c>
      <x:c r="K238" s="11" t="str">
        <x:v>nerator that produces actionable and context-aware step-by-step guidance; and 3) a Reflector that evaluates execution feedback and facilitates structured reflective learning. A comprehensive PT knowledge vector database (VDB) is built from public cybersecurity resources, including MITRE ATT&amp;CK and the OWASP Testing Guide (OTG), forming a tree-structured repository of tactics, techniques, and abstract actions. Experiments were conducted on the Sau machine from the Hack The Bo</x:v>
      </x:c>
      <x:c r="L238" s="16" t="str">
        <x:v>A source-linked excerpt and locator are supplied as review leads for auditability.</x:v>
      </x:c>
      <x:c r="M238" s="16" t="str">
        <x:v>Require an explicit cross-stage connection. Information must guide later action; feedback must alter later action; packaging must assemble prior outputs; governance must enforce an actual gate.</x:v>
      </x:c>
      <x:c r="N238" s="16" t="str">
        <x:v>context aggregation / rule extraction;tool routing / strategy routing;feedback interpretation / loop adjustment;long-horizon state management;failure reuse / strategy update</x:v>
      </x:c>
      <x:c r="O238" s="16" t="str">
        <x:v>The cited source supports the selected label context aggregation / rule extraction;tool routing / strategy routing;feedback interpretation / loop adjustment;long-horizon state management;failure reuse / strategy update; each retained label requires an explicit connection that guides later action, feedback, packaging, or a gate.</x:v>
      </x:c>
      <x:c r="P238" s="16" t="str">
        <x:v>https://spectrum.library.concordia.ca/id/eprint/996544/1/Dai_MA_F2025.pdf | role p.3; action p.11; feedback p.3; validation p.3; evaluation p.3</x:v>
      </x:c>
      <x:c r="Q238" s="16" t="str">
        <x:v>no</x:v>
      </x:c>
      <x:c r="R238" s="11" t="str"/>
      <x:c r="S238" s="11" t="str">
        <x:v>2026-08-12</x:v>
      </x:c>
      <x:c r="T238" s="18" t="str">
        <x:f>IF(OR(AND(N238="unresolved",LEN(O238)&gt;0,LEN(P238)&gt;0,Q238="yes"),AND(LEN(N238)&gt;0,LEN(O238)&gt;0,LEN(P238)&gt;0,OR(Q238="yes",Q238="no"))),"ready","pending")</x:f>
        <x:v>ready</x:v>
      </x:c>
    </x:row>
    <x:row r="239" ht="44" customHeight="1">
      <x:c r="A239" s="10" t="str">
        <x:v>FMS0850__external_traceability</x:v>
      </x:c>
      <x:c r="B239" s="11" t="str">
        <x:v>FMS0850</x:v>
      </x:c>
      <x:c r="C239" s="11" t="str">
        <x:v>final_multisource_132</x:v>
      </x:c>
      <x:c r="D239" s="11" t="str">
        <x:v>Large Language Model assisted Hybrid Fuzzing</x:v>
      </x:c>
      <x:c r="E239" s="11" t="str">
        <x:v>external traceability</x:v>
      </x:c>
      <x:c r="F239" s="11" t="str">
        <x:v>single-label</x:v>
      </x:c>
      <x:c r="G239" s="11" t="str">
        <x:v>benchmark ground truth / public material</x:v>
      </x:c>
      <x:c r="H239" s="11" t="str">
        <x:v>no external trace reported</x:v>
      </x:c>
      <x:c r="I239" s="11" t="str">
        <x:v>source-linked lead</x:v>
      </x:c>
      <x:c r="J239" s="11" t="str">
        <x:v>https://arxiv.org/pdf/2412.15931 | role p.1; action p.1; feedback p.1; validation p.4; evaluation p.2</x:v>
      </x:c>
      <x:c r="K239" s="11" t="str">
        <x:v>straints, such as (= (select input i) 60) for (*cur == • We evaluated H Y LL FUZZ on several widely used bench- '&lt;'). However, symbolic emulation can introduce significant marks, and compared it with state-of-the-art hybrid fuzzers. time overhead, such as being several orders of magnitude The results demonstrate that H Y LL FUZZ delivers signifi- slower than native</x:v>
      </x:c>
      <x:c r="L239" s="16" t="str">
        <x:v>A source-linked excerpt and locator are supplied as review leads for auditability.</x:v>
      </x:c>
      <x:c r="M239" s="16" t="str">
        <x:v>Code separately from principal output. Only item-level alignment between a concrete system result and a specific public external record qualifies as publicly aligned external trace.</x:v>
      </x:c>
      <x:c r="N239" s="16" t="str">
        <x:v>benchmark ground truth / public material</x:v>
      </x:c>
      <x:c r="O239" s="16" t="str">
        <x:v>The cited source supports the selected label benchmark ground truth / public material under the codebook's item-level public-record alignment criterion.</x:v>
      </x:c>
      <x:c r="P239" s="16" t="str">
        <x:v>https://arxiv.org/pdf/2412.15931 | role p.1; action p.1; feedback p.1; validation p.4; evaluation p.2</x:v>
      </x:c>
      <x:c r="Q239" s="16" t="str">
        <x:v>no</x:v>
      </x:c>
      <x:c r="R239" s="11" t="str"/>
      <x:c r="S239" s="11" t="str">
        <x:v>2026-08-12</x:v>
      </x:c>
      <x:c r="T239" s="18" t="str">
        <x:f>IF(OR(AND(N239="unresolved",LEN(O239)&gt;0,LEN(P239)&gt;0,Q239="yes"),AND(LEN(N239)&gt;0,LEN(O239)&gt;0,LEN(P239)&gt;0,OR(Q239="yes",Q239="no"))),"ready","pending")</x:f>
        <x:v>ready</x:v>
      </x:c>
    </x:row>
    <x:row r="240" ht="44" customHeight="1">
      <x:c r="A240" s="10" t="str">
        <x:v>FMS0890__lifecycle</x:v>
      </x:c>
      <x:c r="B240" s="11" t="str">
        <x:v>FMS0890</x:v>
      </x:c>
      <x:c r="C240" s="11" t="str">
        <x:v>final_multisource_132</x:v>
      </x:c>
      <x:c r="D240" s="11" t="str">
        <x:v>LibLMFuzz: LLM-Augmented Fuzz Target Generation for Black-box Libraries</x:v>
      </x:c>
      <x:c r="E240" s="11" t="str">
        <x:v>lifecycle coverage</x:v>
      </x:c>
      <x:c r="F240" s="11" t="str">
        <x:v>multi-label</x:v>
      </x:c>
      <x:c r="G240" s="11" t="str">
        <x:v>candidate analysis;execution observation;path and input exploration</x:v>
      </x:c>
      <x:c r="H240" s="11" t="str">
        <x:v>execution observation;path and input exploration</x:v>
      </x:c>
      <x:c r="I240" s="11" t="str">
        <x:v>source-linked lead</x:v>
      </x:c>
      <x:c r="J240" s="11" t="str">
        <x:v>https://arxiv.org/pdf/2507.15058 | role p.1; action p.1; feedback p.1; validation p.2; evaluation p.1</x:v>
      </x:c>
      <x:c r="K240" s="11" t="str">
        <x:v>LibLMFuzz: LLM-Augmented Fuzz Target Generation for Black-box Libraries Ian Hardgrove</x:v>
      </x:c>
      <x:c r="L240" s="16" t="str">
        <x:v>A source-linked excerpt and locator are supplied as review leads for auditability.</x:v>
      </x:c>
      <x:c r="M240" s="16" t="str">
        <x:v>Mark only observable lifecycle actions or outputs. Reporting and audit requires explicit packaging, routing, disclosure, or audit transition; a report name alone is insufficient.</x:v>
      </x:c>
      <x:c r="N240" s="16" t="str">
        <x:v>candidate analysis;path and input exploration;execution observation</x:v>
      </x:c>
      <x:c r="O240" s="16" t="str">
        <x:v>The cited source supports the selected label candidate analysis;path and input exploration;execution observation; only observable workflow actions or outputs were retained.</x:v>
      </x:c>
      <x:c r="P240" s="16" t="str">
        <x:v>https://arxiv.org/pdf/2507.15058 | role p.1; action p.1; feedback p.1; validation p.2; evaluation p.1</x:v>
      </x:c>
      <x:c r="Q240" s="16" t="str">
        <x:v>no</x:v>
      </x:c>
      <x:c r="R240" s="11" t="str"/>
      <x:c r="S240" s="11" t="str">
        <x:v>2026-08-12</x:v>
      </x:c>
      <x:c r="T240" s="18" t="str">
        <x:f>IF(OR(AND(N240="unresolved",LEN(O240)&gt;0,LEN(P240)&gt;0,Q240="yes"),AND(LEN(N240)&gt;0,LEN(O240)&gt;0,LEN(P240)&gt;0,OR(Q240="yes",Q240="no"))),"ready","pending")</x:f>
        <x:v>ready</x:v>
      </x:c>
    </x:row>
    <x:row r="241" ht="44" customHeight="1">
      <x:c r="A241" s="10" t="str">
        <x:v>FMS0890__capability</x:v>
      </x:c>
      <x:c r="B241" s="11" t="str">
        <x:v>FMS0890</x:v>
      </x:c>
      <x:c r="C241" s="11" t="str">
        <x:v>final_multisource_132</x:v>
      </x:c>
      <x:c r="D241" s="11" t="str">
        <x:v>LibLMFuzz: LLM-Augmented Fuzz Target Generation for Black-box Libraries</x:v>
      </x:c>
      <x:c r="E241" s="11" t="str">
        <x:v>cross-stage capability</x:v>
      </x:c>
      <x:c r="F241" s="11" t="str">
        <x:v>multi-label</x:v>
      </x:c>
      <x:c r="G241" s="11" t="str">
        <x:v>context aggregation / rule extraction;failure reuse / strategy update;feedback interpretation / loop adjustment;tool routing / strategy routing;validation organization / evidence packaging</x:v>
      </x:c>
      <x:c r="H241" s="11" t="str">
        <x:v>context aggregation / rule extraction;feedback interpretation / loop adjustment;tool routing / strategy routing</x:v>
      </x:c>
      <x:c r="I241" s="11" t="str">
        <x:v>source-linked lead</x:v>
      </x:c>
      <x:c r="J241" s="11" t="str">
        <x:v>https://arxiv.org/pdf/2507.15058 | role p.1; action p.1; feedback p.1; validation p.2; evaluation p.1</x:v>
      </x:c>
      <x:c r="K241" s="11" t="str">
        <x:v>drivers, and tuned models to generate valid source code within the con- iteratively self-repair build or runtime errors. Tested on four text of an application. Researchers have found that GitHub’s widely-used Linux libraries, LibLMFuzz produced syntactically Copilot [8], a popular too</x:v>
      </x:c>
      <x:c r="L241" s="16" t="str">
        <x:v>A source-linked excerpt and locator are supplied as review leads for auditability.</x:v>
      </x:c>
      <x:c r="M241" s="16" t="str">
        <x:v>Require an explicit cross-stage connection. Information must guide later action; feedback must alter later action; packaging must assemble prior outputs; governance must enforce an actual gate.</x:v>
      </x:c>
      <x:c r="N241" s="16" t="str">
        <x:v>context aggregation / rule extraction;tool routing / strategy routing;feedback interpretation / loop adjustment;validation organization / evidence packaging;failure reuse / strategy update</x:v>
      </x:c>
      <x:c r="O241"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241" s="16" t="str">
        <x:v>https://arxiv.org/pdf/2507.15058 | role p.1; action p.1; feedback p.1; validation p.2; evaluation p.1</x:v>
      </x:c>
      <x:c r="Q241" s="16" t="str">
        <x:v>no</x:v>
      </x:c>
      <x:c r="R241" s="11" t="str"/>
      <x:c r="S241" s="11" t="str">
        <x:v>2026-08-12</x:v>
      </x:c>
      <x:c r="T241" s="18" t="str">
        <x:f>IF(OR(AND(N241="unresolved",LEN(O241)&gt;0,LEN(P241)&gt;0,Q241="yes"),AND(LEN(N241)&gt;0,LEN(O241)&gt;0,LEN(P241)&gt;0,OR(Q241="yes",Q241="no"))),"ready","pending")</x:f>
        <x:v>ready</x:v>
      </x:c>
    </x:row>
    <x:row r="242" ht="44" customHeight="1">
      <x:c r="A242" s="10" t="str">
        <x:v>FMS0890__external_traceability</x:v>
      </x:c>
      <x:c r="B242" s="11" t="str">
        <x:v>FMS0890</x:v>
      </x:c>
      <x:c r="C242" s="11" t="str">
        <x:v>final_multisource_132</x:v>
      </x:c>
      <x:c r="D242" s="11" t="str">
        <x:v>LibLMFuzz: LLM-Augmented Fuzz Target Generation for Black-box Libraries</x:v>
      </x:c>
      <x:c r="E242" s="11" t="str">
        <x:v>external traceability</x:v>
      </x:c>
      <x:c r="F242" s="11" t="str">
        <x:v>single-label</x:v>
      </x:c>
      <x:c r="G242" s="11" t="str">
        <x:v>benchmark ground truth / public material</x:v>
      </x:c>
      <x:c r="H242" s="11" t="str">
        <x:v>no external trace reported</x:v>
      </x:c>
      <x:c r="I242" s="11" t="str">
        <x:v>source-linked lead</x:v>
      </x:c>
      <x:c r="J242" s="11" t="str">
        <x:v>https://arxiv.org/pdf/2507.15058 | role p.1; action p.1; feedback p.1; validation p.2; evaluation p.1</x:v>
      </x:c>
      <x:c r="K242" s="11" t="str">
        <x:v>summarize natural language and generate semantically correct cution. The results show that LLM-augmented middleware holds source code lend the opportunity to integrate them into the promise in reducing the costs of fuzzing black box components fuzzing workflow. and provides a foundation for future research efforts. Future o</x:v>
      </x:c>
      <x:c r="L242" s="16" t="str">
        <x:v>A source-linked excerpt and locator are supplied as review leads for auditability.</x:v>
      </x:c>
      <x:c r="M242" s="16" t="str">
        <x:v>Code separately from principal output. Only item-level alignment between a concrete system result and a specific public external record qualifies as publicly aligned external trace.</x:v>
      </x:c>
      <x:c r="N242" s="16" t="str">
        <x:v>benchmark ground truth / public material</x:v>
      </x:c>
      <x:c r="O242" s="16" t="str">
        <x:v>The cited source supports the selected label benchmark ground truth / public material under the codebook's item-level public-record alignment criterion.</x:v>
      </x:c>
      <x:c r="P242" s="16" t="str">
        <x:v>https://arxiv.org/pdf/2507.15058 | role p.1; action p.1; feedback p.1; validation p.2; evaluation p.1</x:v>
      </x:c>
      <x:c r="Q242" s="16" t="str">
        <x:v>no</x:v>
      </x:c>
      <x:c r="R242" s="11" t="str"/>
      <x:c r="S242" s="11" t="str">
        <x:v>2026-08-12</x:v>
      </x:c>
      <x:c r="T242" s="18" t="str">
        <x:f>IF(OR(AND(N242="unresolved",LEN(O242)&gt;0,LEN(P242)&gt;0,Q242="yes"),AND(LEN(N242)&gt;0,LEN(O242)&gt;0,LEN(P242)&gt;0,OR(Q242="yes",Q242="no"))),"ready","pending")</x:f>
        <x:v>ready</x:v>
      </x:c>
    </x:row>
    <x:row r="243" ht="44" customHeight="1">
      <x:c r="A243" s="10" t="str">
        <x:v>FMS0904__capability</x:v>
      </x:c>
      <x:c r="B243" s="11" t="str">
        <x:v>FMS0904</x:v>
      </x:c>
      <x:c r="C243" s="11" t="str">
        <x:v>final_multisource_132</x:v>
      </x:c>
      <x:c r="D243" s="11" t="str">
        <x:v>LLM Agents for Automated Web Vulnerability Reproduction: Are We There Yet?</x:v>
      </x:c>
      <x:c r="E243" s="11" t="str">
        <x:v>cross-stage capability</x:v>
      </x:c>
      <x:c r="F243" s="11" t="str">
        <x:v>multi-label</x:v>
      </x:c>
      <x:c r="G243" s="11" t="str">
        <x:v>context aggregation / rule extraction;failure reuse / strategy update;feedback interpretation / loop adjustment;long-horizon state management;tool routing / strategy routing;validation organization / evidence packaging</x:v>
      </x:c>
      <x:c r="H243" s="11" t="str">
        <x:v>context aggregation / rule extraction;failure reuse / strategy update;feedback interpretation / loop adjustment;tool routing / strategy routing;validation organization / evidence packaging</x:v>
      </x:c>
      <x:c r="I243" s="11" t="str">
        <x:v>source-linked lead</x:v>
      </x:c>
      <x:c r="J243" s="11" t="str">
        <x:v>https://arxiv.org/pdf/2510.14700 | role p.1; action p.1; feedback p.3; validation p.1; evaluation p.1</x:v>
      </x:c>
      <x:c r="K243" s="11" t="str">
        <x:v>[66] addresses failure handling through reflection mechanisms that analyze past mistakes and store self-reflections in memory for improving future planning decisions. This self-correction capability enables iterative problem-solving and strategy refinement over time. 2.1.2 Representative Agents and Frameworks. LLM agents have emerged across diverse application domains. Software engineering agents assist with code generation, debugging, and repository-level analysis. Cybersecurity</x:v>
      </x:c>
      <x:c r="L243" s="16" t="str">
        <x:v>A source-linked excerpt and locator are supplied as review leads for auditability.</x:v>
      </x:c>
      <x:c r="M243" s="16" t="str">
        <x:v>Require an explicit cross-stage connection. Information must guide later action; feedback must alter later action; packaging must assemble prior outputs; governance must enforce an actual gate.</x:v>
      </x:c>
      <x:c r="N243" s="16" t="str">
        <x:v>context aggregation / rule extraction;tool routing / strategy routing;feedback interpretation / loop adjustment;validation organization / evidence packaging;long-horizon state management;failure reuse / strategy update</x:v>
      </x:c>
      <x:c r="O243"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243" s="16" t="str">
        <x:v>https://arxiv.org/pdf/2510.14700 | role p.1; action p.1; feedback p.3; validation p.1; evaluation p.1</x:v>
      </x:c>
      <x:c r="Q243" s="16" t="str">
        <x:v>no</x:v>
      </x:c>
      <x:c r="R243" s="11" t="str"/>
      <x:c r="S243" s="11" t="str">
        <x:v>2026-08-12</x:v>
      </x:c>
      <x:c r="T243" s="18" t="str">
        <x:f>IF(OR(AND(N243="unresolved",LEN(O243)&gt;0,LEN(P243)&gt;0,Q243="yes"),AND(LEN(N243)&gt;0,LEN(O243)&gt;0,LEN(P243)&gt;0,OR(Q243="yes",Q243="no"))),"ready","pending")</x:f>
        <x:v>ready</x:v>
      </x:c>
    </x:row>
    <x:row r="244" ht="44" customHeight="1">
      <x:c r="A244" s="10" t="str">
        <x:v>FMS0914__lifecycle</x:v>
      </x:c>
      <x:c r="B244" s="11" t="str">
        <x:v>FMS0914</x:v>
      </x:c>
      <x:c r="C244" s="11" t="str">
        <x:v>final_multisource_132</x:v>
      </x:c>
      <x:c r="D244" s="11" t="str">
        <x:v>LLM-BSCVM: An LLM-Based Blockchain Smart Contract Vulnerability Management Framework</x:v>
      </x:c>
      <x:c r="E244" s="11" t="str">
        <x:v>lifecycle coverage</x:v>
      </x:c>
      <x:c r="F244" s="11" t="str">
        <x:v>multi-label</x:v>
      </x:c>
      <x:c r="G244" s="11" t="str">
        <x:v>candidate analysis;reporting and audit</x:v>
      </x:c>
      <x:c r="H244" s="11" t="str">
        <x:v>candidate analysis;patch validation</x:v>
      </x:c>
      <x:c r="I244" s="11" t="str">
        <x:v>source-linked lead</x:v>
      </x:c>
      <x:c r="J244" s="11" t="str">
        <x:v>https://arxiv.org/pdf/2505.17416 | role p.1; action p.1; feedback p.6; validation p.2; evaluation p.1</x:v>
      </x:c>
      <x:c r="K244" s="11" t="str">
        <x:v>tend to have a high repair, and evaluation capabilities for Web 3.0 ecosystem. LLM- BSCVM combines retrieval-augmented generation technology false positive rate when applied to complex contracts and are</x:v>
      </x:c>
      <x:c r="L244" s="16" t="str">
        <x:v>A source-linked excerpt and locator are supplied as review leads for auditability.</x:v>
      </x:c>
      <x:c r="M244" s="16" t="str">
        <x:v>Mark only observable lifecycle actions or outputs. Reporting and audit requires explicit packaging, routing, disclosure, or audit transition; a report name alone is insufficient.</x:v>
      </x:c>
      <x:c r="N244" s="16" t="str">
        <x:v>candidate analysis;reporting and audit</x:v>
      </x:c>
      <x:c r="O244" s="16" t="str">
        <x:v>The cited source supports the selected label candidate analysis;reporting and audit; only observable workflow actions or outputs were retained.</x:v>
      </x:c>
      <x:c r="P244" s="16" t="str">
        <x:v>https://arxiv.org/pdf/2505.17416 | role p.1; action p.1; feedback p.6; validation p.2; evaluation p.1</x:v>
      </x:c>
      <x:c r="Q244" s="16" t="str">
        <x:v>no</x:v>
      </x:c>
      <x:c r="R244" s="11" t="str"/>
      <x:c r="S244" s="11" t="str">
        <x:v>2026-08-12</x:v>
      </x:c>
      <x:c r="T244" s="18" t="str">
        <x:f>IF(OR(AND(N244="unresolved",LEN(O244)&gt;0,LEN(P244)&gt;0,Q244="yes"),AND(LEN(N244)&gt;0,LEN(O244)&gt;0,LEN(P244)&gt;0,OR(Q244="yes",Q244="no"))),"ready","pending")</x:f>
        <x:v>ready</x:v>
      </x:c>
    </x:row>
    <x:row r="245" ht="44" customHeight="1">
      <x:c r="A245" s="10" t="str">
        <x:v>FMS0914__capability</x:v>
      </x:c>
      <x:c r="B245" s="11" t="str">
        <x:v>FMS0914</x:v>
      </x:c>
      <x:c r="C245" s="11" t="str">
        <x:v>final_multisource_132</x:v>
      </x:c>
      <x:c r="D245" s="11" t="str">
        <x:v>LLM-BSCVM: An LLM-Based Blockchain Smart Contract Vulnerability Management Framework</x:v>
      </x:c>
      <x:c r="E245" s="11" t="str">
        <x:v>cross-stage capability</x:v>
      </x:c>
      <x:c r="F245" s="11" t="str">
        <x:v>multi-label</x:v>
      </x:c>
      <x:c r="G245" s="11" t="str">
        <x:v>context aggregation / rule extraction;feedback interpretation / loop adjustment;long-horizon state management</x:v>
      </x:c>
      <x:c r="H245" s="11" t="str">
        <x:v>context aggregation / rule extraction;feedback interpretation / loop adjustment;long-horizon state management;tool routing / strategy routing;validation organization / evidence packaging</x:v>
      </x:c>
      <x:c r="I245" s="11" t="str">
        <x:v>source-linked lead</x:v>
      </x:c>
      <x:c r="J245" s="11" t="str">
        <x:v>https://arxiv.org/pdf/2505.17416 | role p.1; action p.1; feedback p.6; validation p.2; evaluation p.1</x:v>
      </x:c>
      <x:c r="K245" s="11" t="str">
        <x:v>specific of knowledge retrieval. and provide structured feedback. Detector’s prompt：Role&amp;Task description&amp; Knowledge&amp;expected output including smart contract audit reports [31] from renowned security institutions, security best practices [32], and pro-</x:v>
      </x:c>
      <x:c r="L245" s="16" t="str">
        <x:v>A source-linked excerpt and locator are supplied as review leads for auditability.</x:v>
      </x:c>
      <x:c r="M245" s="16" t="str">
        <x:v>Require an explicit cross-stage connection. Information must guide later action; feedback must alter later action; packaging must assemble prior outputs; governance must enforce an actual gate.</x:v>
      </x:c>
      <x:c r="N245" s="16" t="str">
        <x:v>context aggregation / rule extraction;feedback interpretation / loop adjustment;long-horizon state management</x:v>
      </x:c>
      <x:c r="O245" s="16" t="str">
        <x:v>The cited source supports the selected label context aggregation / rule extraction;feedback interpretation / loop adjustment;long-horizon state management; each retained label requires an explicit connection that guides later action, feedback, packaging, or a gate.</x:v>
      </x:c>
      <x:c r="P245" s="16" t="str">
        <x:v>https://arxiv.org/pdf/2505.17416 | role p.1; action p.1; feedback p.6; validation p.2; evaluation p.1</x:v>
      </x:c>
      <x:c r="Q245" s="16" t="str">
        <x:v>no</x:v>
      </x:c>
      <x:c r="R245" s="11" t="str"/>
      <x:c r="S245" s="11" t="str">
        <x:v>2026-08-12</x:v>
      </x:c>
      <x:c r="T245" s="18" t="str">
        <x:f>IF(OR(AND(N245="unresolved",LEN(O245)&gt;0,LEN(P245)&gt;0,Q245="yes"),AND(LEN(N245)&gt;0,LEN(O245)&gt;0,LEN(P245)&gt;0,OR(Q245="yes",Q245="no"))),"ready","pending")</x:f>
        <x:v>ready</x:v>
      </x:c>
    </x:row>
    <x:row r="246" ht="44" customHeight="1">
      <x:c r="A246" s="10" t="str">
        <x:v>FMS0914__primary_shape</x:v>
      </x:c>
      <x:c r="B246" s="11" t="str">
        <x:v>FMS0914</x:v>
      </x:c>
      <x:c r="C246" s="11" t="str">
        <x:v>final_multisource_132</x:v>
      </x:c>
      <x:c r="D246" s="11" t="str">
        <x:v>LLM-BSCVM: An LLM-Based Blockchain Smart Contract Vulnerability Management Framework</x:v>
      </x:c>
      <x:c r="E246" s="11" t="str">
        <x:v>primary system shape</x:v>
      </x:c>
      <x:c r="F246" s="11" t="str">
        <x:v>single-label</x:v>
      </x:c>
      <x:c r="G246" s="11" t="str">
        <x:v>candidate-analysis system</x:v>
      </x:c>
      <x:c r="H246" s="11" t="str">
        <x:v>reproduction-, validation-, and repair-centered agent</x:v>
      </x:c>
      <x:c r="I246" s="11" t="str">
        <x:v>source-linked lead</x:v>
      </x:c>
      <x:c r="J246" s="11" t="str">
        <x:v>https://arxiv.org/pdf/2505.17416 | role p.1; action p.1; feedback p.6; validation p.2; evaluation p.1</x:v>
      </x:c>
      <x:c r="K246" s="11" t="str">
        <x:v>omati- contract vulnerability management through the collaborative cally learn vulnerability features in contracts, reducing human efforts of six intelligent agents, specifically: vulnerability detec- intervention. However, they are typically limited to pattern tion, cause analysis, repair suggestion generation, risk assess-</x:v>
      </x:c>
      <x:c r="L246" s="16" t="str">
        <x:v>A source-linked excerpt and locator are supplied as review leads for auditability.</x:v>
      </x:c>
      <x:c r="M246" s="16" t="str">
        <x:v>Choose the dominant locus and objective of agent control in the main evaluated contribution. Use the evaluation task and primary metrics to resolve ties; do not infer from agent count or system name.</x:v>
      </x:c>
      <x:c r="N246" s="16" t="str">
        <x:v>candidate-analysis system</x:v>
      </x:c>
      <x:c r="O246" s="16" t="str">
        <x:v>The cited source supports the selected label candidate-analysis system as the dominant evaluated locus and objective of agent control.</x:v>
      </x:c>
      <x:c r="P246" s="16" t="str">
        <x:v>https://arxiv.org/pdf/2505.17416 | role p.1; action p.1; feedback p.6; validation p.2; evaluation p.1</x:v>
      </x:c>
      <x:c r="Q246" s="16" t="str">
        <x:v>no</x:v>
      </x:c>
      <x:c r="R246" s="11" t="str"/>
      <x:c r="S246" s="11" t="str">
        <x:v>2026-08-12</x:v>
      </x:c>
      <x:c r="T246" s="18" t="str">
        <x:f>IF(OR(AND(N246="unresolved",LEN(O246)&gt;0,LEN(P246)&gt;0,Q246="yes"),AND(LEN(N246)&gt;0,LEN(O246)&gt;0,LEN(P246)&gt;0,OR(Q246="yes",Q246="no"))),"ready","pending")</x:f>
        <x:v>ready</x:v>
      </x:c>
    </x:row>
    <x:row r="247" ht="44" customHeight="1">
      <x:c r="A247" s="10" t="str">
        <x:v>FMS0922__lifecycle</x:v>
      </x:c>
      <x:c r="B247" s="11" t="str">
        <x:v>FMS0922</x:v>
      </x:c>
      <x:c r="C247" s="11" t="str">
        <x:v>final_multisource_132</x:v>
      </x:c>
      <x:c r="D247" s="11" t="str">
        <x:v>LLM-JDFuzz: A Large Language Model-Based Automated Java Deserialization Payload Generation Framework</x:v>
      </x:c>
      <x:c r="E247" s="11" t="str">
        <x:v>lifecycle coverage</x:v>
      </x:c>
      <x:c r="F247" s="11" t="str">
        <x:v>multi-label</x:v>
      </x:c>
      <x:c r="G247" s="11" t="str">
        <x:v>execution observation;path and input exploration;reproduction and validation</x:v>
      </x:c>
      <x:c r="H247" s="11" t="str">
        <x:v>execution observation;path and input exploration;reporting and audit;reproduction and validation</x:v>
      </x:c>
      <x:c r="I247" s="11" t="str">
        <x:v>source-linked lead</x:v>
      </x:c>
      <x:c r="J247" s="11" t="str">
        <x:v>https://mdpi-res.com/d_attachment/electronics/electronics-15-00954/article_deploy/electronics-15-00954.pdf | role p.1; action p.1; feedback p.1; validation p.2; evaluation p.1</x:v>
      </x:c>
      <x:c r="K247" s="11" t="str">
        <x:v>Article LLM-JDFuzz: A Large Language Model-Based Automated Java Deserialization Payload Generation Framework Dong Su and Tengfei Tu * State Key Laboratory of Networking and</x:v>
      </x:c>
      <x:c r="L247" s="16" t="str">
        <x:v>A source-linked excerpt and locator are supplied as review leads for auditability.</x:v>
      </x:c>
      <x:c r="M247" s="16" t="str">
        <x:v>Mark only observable lifecycle actions or outputs. Reporting and audit requires explicit packaging, routing, disclosure, or audit transition; a report name alone is insufficient.</x:v>
      </x:c>
      <x:c r="N247" s="16" t="str">
        <x:v>path and input exploration;execution observation;reproduction and validation</x:v>
      </x:c>
      <x:c r="O247" s="16" t="str">
        <x:v>The cited source supports the selected label path and input exploration;execution observation;reproduction and validation; only observable workflow actions or outputs were retained.</x:v>
      </x:c>
      <x:c r="P247" s="16" t="str">
        <x:v>https://mdpi-res.com/d_attachment/electronics/electronics-15-00954/article_deploy/electronics-15-00954.pdf | role p.1; action p.1; feedback p.1; validation p.2; evaluation p.1</x:v>
      </x:c>
      <x:c r="Q247" s="16" t="str">
        <x:v>no</x:v>
      </x:c>
      <x:c r="R247" s="11" t="str"/>
      <x:c r="S247" s="11" t="str">
        <x:v>2026-08-12</x:v>
      </x:c>
      <x:c r="T247" s="18" t="str">
        <x:f>IF(OR(AND(N247="unresolved",LEN(O247)&gt;0,LEN(P247)&gt;0,Q247="yes"),AND(LEN(N247)&gt;0,LEN(O247)&gt;0,LEN(P247)&gt;0,OR(Q247="yes",Q247="no"))),"ready","pending")</x:f>
        <x:v>ready</x:v>
      </x:c>
    </x:row>
    <x:row r="248" ht="44" customHeight="1">
      <x:c r="A248" s="10" t="str">
        <x:v>FMS0922__capability</x:v>
      </x:c>
      <x:c r="B248" s="11" t="str">
        <x:v>FMS0922</x:v>
      </x:c>
      <x:c r="C248" s="11" t="str">
        <x:v>final_multisource_132</x:v>
      </x:c>
      <x:c r="D248" s="11" t="str">
        <x:v>LLM-JDFuzz: A Large Language Model-Based Automated Java Deserialization Payload Generation Framework</x:v>
      </x:c>
      <x:c r="E248" s="11" t="str">
        <x:v>cross-stage capability</x:v>
      </x:c>
      <x:c r="F248" s="11" t="str">
        <x:v>multi-label</x:v>
      </x:c>
      <x:c r="G248" s="11" t="str">
        <x:v>failure reuse / strategy update;feedback interpretation / loop adjustment;tool routing / strategy routing;validation organization / evidence packaging</x:v>
      </x:c>
      <x:c r="H248" s="11" t="str">
        <x:v>context aggregation / rule extraction;failure reuse / strategy update;feedback interpretation / loop adjustment;tool routing / strategy routing;validation organization / evidence packaging</x:v>
      </x:c>
      <x:c r="I248" s="11" t="str">
        <x:v>source-linked lead</x:v>
      </x:c>
      <x:c r="J248" s="11" t="str">
        <x:v>https://mdpi-res.com/d_attachment/electronics/electronics-15-00954/article_deploy/electronics-15-00954.pdf | role p.1; action p.1; feedback p.1; validation p.2; evaluation p.1</x:v>
      </x:c>
      <x:c r="K248" s="11" t="str">
        <x:v>ts between generation, muta- tion, and semantic exploration based on execution feedback, and (3) a fine-grained feedback mechanism that performs error classification and root cause attribution to guide iterative refinement. We evaluate LLM-JDFuzz on 34 Gadget Chains from the ysoserial benchmark. Results show that LLM-JDFuz</x:v>
      </x:c>
      <x:c r="L248" s="16" t="str">
        <x:v>A source-linked excerpt and locator are supplied as review leads for auditability.</x:v>
      </x:c>
      <x:c r="M248" s="16" t="str">
        <x:v>Require an explicit cross-stage connection. Information must guide later action; feedback must alter later action; packaging must assemble prior outputs; governance must enforce an actual gate.</x:v>
      </x:c>
      <x:c r="N248" s="16" t="str">
        <x:v>tool routing / strategy routing;feedback interpretation / loop adjustment;validation organization / evidence packaging;failure reuse / strategy update</x:v>
      </x:c>
      <x:c r="O248" s="16" t="str">
        <x:v>The cited source supports the selected label tool routing / strategy routing;feedback interpretation / loop adjustment;validation organization / evidence packaging;failure reuse / strategy update; each retained label requires an explicit connection that guides later action, feedback, packaging, or a gate.</x:v>
      </x:c>
      <x:c r="P248" s="16" t="str">
        <x:v>https://mdpi-res.com/d_attachment/electronics/electronics-15-00954/article_deploy/electronics-15-00954.pdf | role p.1; action p.1; feedback p.1; validation p.2; evaluation p.1</x:v>
      </x:c>
      <x:c r="Q248" s="16" t="str">
        <x:v>no</x:v>
      </x:c>
      <x:c r="R248" s="11" t="str"/>
      <x:c r="S248" s="11" t="str">
        <x:v>2026-08-12</x:v>
      </x:c>
      <x:c r="T248" s="18" t="str">
        <x:f>IF(OR(AND(N248="unresolved",LEN(O248)&gt;0,LEN(P248)&gt;0,Q248="yes"),AND(LEN(N248)&gt;0,LEN(O248)&gt;0,LEN(P248)&gt;0,OR(Q248="yes",Q248="no"))),"ready","pending")</x:f>
        <x:v>ready</x:v>
      </x:c>
    </x:row>
    <x:row r="249" ht="44" customHeight="1">
      <x:c r="A249" s="10" t="str">
        <x:v>FMS0922__primary_shape</x:v>
      </x:c>
      <x:c r="B249" s="11" t="str">
        <x:v>FMS0922</x:v>
      </x:c>
      <x:c r="C249" s="11" t="str">
        <x:v>final_multisource_132</x:v>
      </x:c>
      <x:c r="D249" s="11" t="str">
        <x:v>LLM-JDFuzz: A Large Language Model-Based Automated Java Deserialization Payload Generation Framework</x:v>
      </x:c>
      <x:c r="E249" s="11" t="str">
        <x:v>primary system shape</x:v>
      </x:c>
      <x:c r="F249" s="11" t="str">
        <x:v>single-label</x:v>
      </x:c>
      <x:c r="G249" s="11" t="str">
        <x:v>reproduction-, validation-, and repair-centered agent</x:v>
      </x:c>
      <x:c r="H249" s="11" t="str">
        <x:v>feedback-driven fuzzing agent</x:v>
      </x:c>
      <x:c r="I249" s="11" t="str">
        <x:v>source-linked lead</x:v>
      </x:c>
      <x:c r="J249" s="11" t="str">
        <x:v>https://mdpi-res.com/d_attachment/electronics/electronics-15-00954/article_deploy/electronics-15-00954.pdf | role p.1; action p.1; feedback p.1; validation p.2; evaluation p.1</x:v>
      </x:c>
      <x:c r="K249" s="11" t="str">
        <x:v>ion vulnerabilities remain a critical security threat, with existing detection tools facing significant challenges in generating functional exploit payloads due to semantic blindness and constraint complexity. This paper presents LLM-JDFuzz, the framework that leverages Large Language Models for automated Java deserialization payload gen-</x:v>
      </x:c>
      <x:c r="L249" s="16" t="str">
        <x:v>A source-linked excerpt and locator are supplied as review leads for auditability.</x:v>
      </x:c>
      <x:c r="M249" s="16" t="str">
        <x:v>Choose the dominant locus and objective of agent control in the main evaluated contribution. Use the evaluation task and primary metrics to resolve ties; do not infer from agent count or system name.</x:v>
      </x:c>
      <x:c r="N249" s="16" t="str">
        <x:v>reproduction-, validation-, and repair-centered agent</x:v>
      </x:c>
      <x:c r="O249" s="16" t="str">
        <x:v>The cited source supports the selected label reproduction-, validation-, and repair-centered agent as the dominant evaluated locus and objective of agent control.</x:v>
      </x:c>
      <x:c r="P249" s="16" t="str">
        <x:v>https://mdpi-res.com/d_attachment/electronics/electronics-15-00954/article_deploy/electronics-15-00954.pdf | role p.1; action p.1; feedback p.1; validation p.2; evaluation p.1</x:v>
      </x:c>
      <x:c r="Q249" s="16" t="str">
        <x:v>no</x:v>
      </x:c>
      <x:c r="R249" s="11" t="str"/>
      <x:c r="S249" s="11" t="str">
        <x:v>2026-08-12</x:v>
      </x:c>
      <x:c r="T249" s="18" t="str">
        <x:f>IF(OR(AND(N249="unresolved",LEN(O249)&gt;0,LEN(P249)&gt;0,Q249="yes"),AND(LEN(N249)&gt;0,LEN(O249)&gt;0,LEN(P249)&gt;0,OR(Q249="yes",Q249="no"))),"ready","pending")</x:f>
        <x:v>ready</x:v>
      </x:c>
    </x:row>
    <x:row r="250" ht="44" customHeight="1">
      <x:c r="A250" s="10" t="str">
        <x:v>FMS0927__lifecycle</x:v>
      </x:c>
      <x:c r="B250" s="11" t="str">
        <x:v>FMS0927</x:v>
      </x:c>
      <x:c r="C250" s="11" t="str">
        <x:v>final_multisource_132</x:v>
      </x:c>
      <x:c r="D250" s="11" t="str">
        <x:v>LLM4CVE: Enabling Iterative Automated Vulnerability Repair with Large Language Models</x:v>
      </x:c>
      <x:c r="E250" s="11" t="str">
        <x:v>lifecycle coverage</x:v>
      </x:c>
      <x:c r="F250" s="11" t="str">
        <x:v>multi-label</x:v>
      </x:c>
      <x:c r="G250" s="11" t="str">
        <x:v>candidate analysis;patch validation</x:v>
      </x:c>
      <x:c r="H250" s="11" t="str">
        <x:v>candidate analysis;execution observation;patch validation;path and input exploration;reproduction and validation</x:v>
      </x:c>
      <x:c r="I250" s="11" t="str">
        <x:v>source-linked lead</x:v>
      </x:c>
      <x:c r="J250" s="11" t="str">
        <x:v>https://arxiv.org/pdf/2501.03446 | role p.3; action p.1; feedback p.5; validation p.4; evaluation p.1</x:v>
      </x:c>
      <x:c r="K250" s="11" t="str">
        <x:v>A presentation of the LLM4CVE methodology fol- ates until a viable candidate is obtained. LLM4CVE lows in Section 4, where each pipeline stage is thor- begins generating a candidate fix, evaluating the vi- oughly detailed.</x:v>
      </x:c>
      <x:c r="L250" s="16" t="str">
        <x:v>A source-linked excerpt and locator are supplied as review leads for auditability.</x:v>
      </x:c>
      <x:c r="M250" s="16" t="str">
        <x:v>Mark only observable lifecycle actions or outputs. Reporting and audit requires explicit packaging, routing, disclosure, or audit transition; a report name alone is insufficient.</x:v>
      </x:c>
      <x:c r="N250" s="16" t="str">
        <x:v>candidate analysis;patch validation</x:v>
      </x:c>
      <x:c r="O250" s="16" t="str">
        <x:v>The cited source supports the selected label candidate analysis;patch validation; only observable workflow actions or outputs were retained.</x:v>
      </x:c>
      <x:c r="P250" s="16" t="str">
        <x:v>https://arxiv.org/pdf/2501.03446 | role p.3; action p.1; feedback p.5; validation p.4; evaluation p.1</x:v>
      </x:c>
      <x:c r="Q250" s="16" t="str">
        <x:v>no</x:v>
      </x:c>
      <x:c r="R250" s="11" t="str"/>
      <x:c r="S250" s="11" t="str">
        <x:v>2026-08-12</x:v>
      </x:c>
      <x:c r="T250" s="18" t="str">
        <x:f>IF(OR(AND(N250="unresolved",LEN(O250)&gt;0,LEN(P250)&gt;0,Q250="yes"),AND(LEN(N250)&gt;0,LEN(O250)&gt;0,LEN(P250)&gt;0,OR(Q250="yes",Q250="no"))),"ready","pending")</x:f>
        <x:v>ready</x:v>
      </x:c>
    </x:row>
    <x:row r="251" ht="44" customHeight="1">
      <x:c r="A251" s="10" t="str">
        <x:v>FMS0927__capability</x:v>
      </x:c>
      <x:c r="B251" s="11" t="str">
        <x:v>FMS0927</x:v>
      </x:c>
      <x:c r="C251" s="11" t="str">
        <x:v>final_multisource_132</x:v>
      </x:c>
      <x:c r="D251" s="11" t="str">
        <x:v>LLM4CVE: Enabling Iterative Automated Vulnerability Repair with Large Language Models</x:v>
      </x:c>
      <x:c r="E251" s="11" t="str">
        <x:v>cross-stage capability</x:v>
      </x:c>
      <x:c r="F251" s="11" t="str">
        <x:v>multi-label</x:v>
      </x:c>
      <x:c r="G251" s="11" t="str">
        <x:v>context aggregation / rule extraction;failure reuse / strategy update;feedback interpretation / loop adjustment;validation organization / evidence packaging</x:v>
      </x:c>
      <x:c r="H251" s="11" t="str">
        <x:v>context aggregation / rule extraction;failure reuse / strategy update;feedback interpretation / loop adjustment;tool routing / strategy routing;validation organization / evidence packaging</x:v>
      </x:c>
      <x:c r="I251" s="11" t="str">
        <x:v>source-linked lead</x:v>
      </x:c>
      <x:c r="J251" s="11" t="str">
        <x:v>https://arxiv.org/pdf/2501.03446 | role p.3; action p.1; feedback p.5; validation p.4; evaluation p.1</x:v>
      </x:c>
      <x:c r="K251" s="11" t="str">
        <x:v>4CVE pipeline, us- ing automated compiler and metric-based feedback. LLMs can also perform zero-shot reasoning by being 2.3.1 LLM Augmentation prompted to think step-by-step [79]. To enhance LLM capabilities across diverse tasks, two key augmentation methods are used: (1) Parameter-Efficient Fine</x:v>
      </x:c>
      <x:c r="L251" s="16" t="str">
        <x:v>A source-linked excerpt and locator are supplied as review leads for auditability.</x:v>
      </x:c>
      <x:c r="M251" s="16" t="str">
        <x:v>Require an explicit cross-stage connection. Information must guide later action; feedback must alter later action; packaging must assemble prior outputs; governance must enforce an actual gate.</x:v>
      </x:c>
      <x:c r="N251" s="16" t="str">
        <x:v>context aggregation / rule extraction;feedback interpretation / loop adjustment;validation organization / evidence packaging;failure reuse / strategy update</x:v>
      </x:c>
      <x:c r="O251" s="16" t="str">
        <x:v>The cited source supports the selected label context aggregation / rule extraction;feedback interpretation / loop adjustment;validation organization / evidence packaging;failure reuse / strategy update; each retained label requires an explicit connection that guides later action, feedback, packaging, or a gate.</x:v>
      </x:c>
      <x:c r="P251" s="16" t="str">
        <x:v>https://arxiv.org/pdf/2501.03446 | role p.3; action p.1; feedback p.5; validation p.4; evaluation p.1</x:v>
      </x:c>
      <x:c r="Q251" s="16" t="str">
        <x:v>no</x:v>
      </x:c>
      <x:c r="R251" s="11" t="str"/>
      <x:c r="S251" s="11" t="str">
        <x:v>2026-08-12</x:v>
      </x:c>
      <x:c r="T251" s="18" t="str">
        <x:f>IF(OR(AND(N251="unresolved",LEN(O251)&gt;0,LEN(P251)&gt;0,Q251="yes"),AND(LEN(N251)&gt;0,LEN(O251)&gt;0,LEN(P251)&gt;0,OR(Q251="yes",Q251="no"))),"ready","pending")</x:f>
        <x:v>ready</x:v>
      </x:c>
    </x:row>
    <x:row r="252" ht="44" customHeight="1">
      <x:c r="A252" s="10" t="str">
        <x:v>FMS0933__lifecycle</x:v>
      </x:c>
      <x:c r="B252" s="11" t="str">
        <x:v>FMS0933</x:v>
      </x:c>
      <x:c r="C252" s="11" t="str">
        <x:v>final_multisource_132</x:v>
      </x:c>
      <x:c r="D252" s="11" t="str">
        <x:v>LLMs and Fuzzing in Tandem: A New Approach to Automatically Generating Weakest Preconditions</x:v>
      </x:c>
      <x:c r="E252" s="11" t="str">
        <x:v>lifecycle coverage</x:v>
      </x:c>
      <x:c r="F252" s="11" t="str">
        <x:v>multi-label</x:v>
      </x:c>
      <x:c r="G252" s="11" t="str">
        <x:v>candidate analysis;execution observation;path and input exploration</x:v>
      </x:c>
      <x:c r="H252" s="11" t="str">
        <x:v>candidate analysis;execution observation;reproduction and validation</x:v>
      </x:c>
      <x:c r="I252" s="11" t="str">
        <x:v>source-linked lead</x:v>
      </x:c>
      <x:c r="J252" s="11" t="str">
        <x:v>https://arxiv.org/pdf/2507.05272 | role p.1; action p.1; feedback p.1; validation p.2; evaluation p.1</x:v>
      </x:c>
      <x:c r="K252" s="11" t="str">
        <x:v>LLMs and Fuzzing in Tandem: A New Approach to Automatically Generating Weakest Preconditions Daragh King1*, Vasileios Koutav</x:v>
      </x:c>
      <x:c r="L252" s="16" t="str">
        <x:v>A source-linked excerpt and locator are supplied as review leads for auditability.</x:v>
      </x:c>
      <x:c r="M252" s="16" t="str">
        <x:v>Mark only observable lifecycle actions or outputs. Reporting and audit requires explicit packaging, routing, disclosure, or audit transition; a report name alone is insufficient.</x:v>
      </x:c>
      <x:c r="N252" s="16" t="str">
        <x:v>candidate analysis;path and input exploration;execution observation</x:v>
      </x:c>
      <x:c r="O252" s="16" t="str">
        <x:v>The cited source supports the selected label candidate analysis;path and input exploration;execution observation; only observable workflow actions or outputs were retained.</x:v>
      </x:c>
      <x:c r="P252" s="16" t="str">
        <x:v>https://arxiv.org/pdf/2507.05272 | role p.1; action p.1; feedback p.1; validation p.2; evaluation p.1</x:v>
      </x:c>
      <x:c r="Q252" s="16" t="str">
        <x:v>no</x:v>
      </x:c>
      <x:c r="R252" s="11" t="str"/>
      <x:c r="S252" s="11" t="str">
        <x:v>2026-08-12</x:v>
      </x:c>
      <x:c r="T252" s="18" t="str">
        <x:f>IF(OR(AND(N252="unresolved",LEN(O252)&gt;0,LEN(P252)&gt;0,Q252="yes"),AND(LEN(N252)&gt;0,LEN(O252)&gt;0,LEN(P252)&gt;0,OR(Q252="yes",Q252="no"))),"ready","pending")</x:f>
        <x:v>ready</x:v>
      </x:c>
    </x:row>
    <x:row r="253" ht="44" customHeight="1">
      <x:c r="A253" s="10" t="str">
        <x:v>FMS0933__capability</x:v>
      </x:c>
      <x:c r="B253" s="11" t="str">
        <x:v>FMS0933</x:v>
      </x:c>
      <x:c r="C253" s="11" t="str">
        <x:v>final_multisource_132</x:v>
      </x:c>
      <x:c r="D253" s="11" t="str">
        <x:v>LLMs and Fuzzing in Tandem: A New Approach to Automatically Generating Weakest Preconditions</x:v>
      </x:c>
      <x:c r="E253" s="11" t="str">
        <x:v>cross-stage capability</x:v>
      </x:c>
      <x:c r="F253" s="11" t="str">
        <x:v>multi-label</x:v>
      </x:c>
      <x:c r="G253" s="11" t="str">
        <x:v>context aggregation / rule extraction;failure reuse / strategy update;feedback interpretation / loop adjustment;validation organization / evidence packaging</x:v>
      </x:c>
      <x:c r="H253" s="11" t="str">
        <x:v>context aggregation / rule extraction;feedback interpretation / loop adjustment;validation organization / evidence packaging</x:v>
      </x:c>
      <x:c r="I253" s="11" t="str">
        <x:v>source-linked lead</x:v>
      </x:c>
      <x:c r="J253" s="11" t="str">
        <x:v>https://arxiv.org/pdf/2507.05272 | role p.1; action p.1; feedback p.1; validation p.2; evaluation p.1</x:v>
      </x:c>
      <x:c r="K253" s="11" t="str">
        <x:v>s a means of directing LLMs towards correct WPs using program execution feedback. FG utilises fuzz testing for approximately checking the validity and weakness of candidate WPs, this information is then fed back to the LLM as a means of context refinement. We demonstrate the effectiveness of our approach</x:v>
      </x:c>
      <x:c r="L253" s="16" t="str">
        <x:v>A source-linked excerpt and locator are supplied as review leads for auditability.</x:v>
      </x:c>
      <x:c r="M253" s="16" t="str">
        <x:v>Require an explicit cross-stage connection. Information must guide later action; feedback must alter later action; packaging must assemble prior outputs; governance must enforce an actual gate.</x:v>
      </x:c>
      <x:c r="N253" s="16" t="str">
        <x:v>context aggregation / rule extraction;feedback interpretation / loop adjustment;validation organization / evidence packaging;failure reuse / strategy update</x:v>
      </x:c>
      <x:c r="O253" s="16" t="str">
        <x:v>The cited source supports the selected label context aggregation / rule extraction;feedback interpretation / loop adjustment;validation organization / evidence packaging;failure reuse / strategy update; each retained label requires an explicit connection that guides later action, feedback, packaging, or a gate.</x:v>
      </x:c>
      <x:c r="P253" s="16" t="str">
        <x:v>https://arxiv.org/pdf/2507.05272 | role p.1; action p.1; feedback p.1; validation p.2; evaluation p.1</x:v>
      </x:c>
      <x:c r="Q253" s="16" t="str">
        <x:v>no</x:v>
      </x:c>
      <x:c r="R253" s="11" t="str"/>
      <x:c r="S253" s="11" t="str">
        <x:v>2026-08-12</x:v>
      </x:c>
      <x:c r="T253" s="18" t="str">
        <x:f>IF(OR(AND(N253="unresolved",LEN(O253)&gt;0,LEN(P253)&gt;0,Q253="yes"),AND(LEN(N253)&gt;0,LEN(O253)&gt;0,LEN(P253)&gt;0,OR(Q253="yes",Q253="no"))),"ready","pending")</x:f>
        <x:v>ready</x:v>
      </x:c>
    </x:row>
    <x:row r="254" ht="44" customHeight="1">
      <x:c r="A254" s="10" t="str">
        <x:v>FMS0933__principal_evidence</x:v>
      </x:c>
      <x:c r="B254" s="11" t="str">
        <x:v>FMS0933</x:v>
      </x:c>
      <x:c r="C254" s="11" t="str">
        <x:v>final_multisource_132</x:v>
      </x:c>
      <x:c r="D254" s="11" t="str">
        <x:v>LLMs and Fuzzing in Tandem: A New Approach to Automatically Generating Weakest Preconditions</x:v>
      </x:c>
      <x:c r="E254" s="11" t="str">
        <x:v>principal reported evidence output</x:v>
      </x:c>
      <x:c r="F254" s="11" t="str">
        <x:v>single-label</x:v>
      </x:c>
      <x:c r="G254" s="11" t="str">
        <x:v>controlled task completion</x:v>
      </x:c>
      <x:c r="H254" s="11" t="str">
        <x:v>reproducible validation</x:v>
      </x:c>
      <x:c r="I254" s="11" t="str">
        <x:v>source-linked lead</x:v>
      </x:c>
      <x:c r="J254" s="11" t="str">
        <x:v>https://arxiv.org/pdf/2507.05272 | role p.1; action p.1; feedback p.1; validation p.2; evaluation p.1</x:v>
      </x:c>
      <x:c r="K254" s="11" t="str">
        <x:v>by enabling iterative phases of FG relies upon two distinct phases of fuzz test- context refinement. ing to validate and ensure the weakness of an Proceeding to the tail-end of the paper, we LLM-generated WP; the results of these fuzzing provide a discussion of our work in Section 5 – phases are then fed back to the LLM as a means of detailing the relevant threats to validity and the</x:v>
      </x:c>
      <x:c r="L254" s="16" t="str">
        <x:v>A source-linked excerpt and locator are supplied as review leads for auditability.</x:v>
      </x:c>
      <x:c r="M254" s="16" t="str">
        <x:v>Select the observable result most directly supporting the main finding. Benchmark ground truth or aggregate CVE counts do not automatically establish externally traceable material.</x:v>
      </x:c>
      <x:c r="N254" s="16" t="str">
        <x:v>controlled task completion</x:v>
      </x:c>
      <x:c r="O254" s="16" t="str">
        <x:v>The cited source supports the selected label controlled task completion as the main observable result reported for the study.</x:v>
      </x:c>
      <x:c r="P254" s="16" t="str">
        <x:v>https://arxiv.org/pdf/2507.05272 | role p.1; action p.1; feedback p.1; validation p.2; evaluation p.1</x:v>
      </x:c>
      <x:c r="Q254" s="16" t="str">
        <x:v>no</x:v>
      </x:c>
      <x:c r="R254" s="11" t="str"/>
      <x:c r="S254" s="11" t="str">
        <x:v>2026-08-12</x:v>
      </x:c>
      <x:c r="T254" s="18" t="str">
        <x:f>IF(OR(AND(N254="unresolved",LEN(O254)&gt;0,LEN(P254)&gt;0,Q254="yes"),AND(LEN(N254)&gt;0,LEN(O254)&gt;0,LEN(P254)&gt;0,OR(Q254="yes",Q254="no"))),"ready","pending")</x:f>
        <x:v>ready</x:v>
      </x:c>
    </x:row>
    <x:row r="255" ht="44" customHeight="1">
      <x:c r="A255" s="10" t="str">
        <x:v>FMS0933__external_traceability</x:v>
      </x:c>
      <x:c r="B255" s="11" t="str">
        <x:v>FMS0933</x:v>
      </x:c>
      <x:c r="C255" s="11" t="str">
        <x:v>final_multisource_132</x:v>
      </x:c>
      <x:c r="D255" s="11" t="str">
        <x:v>LLMs and Fuzzing in Tandem: A New Approach to Automatically Generating Weakest Preconditions</x:v>
      </x:c>
      <x:c r="E255" s="11" t="str">
        <x:v>external traceability</x:v>
      </x:c>
      <x:c r="F255" s="11" t="str">
        <x:v>single-label</x:v>
      </x:c>
      <x:c r="G255" s="11" t="str">
        <x:v>benchmark ground truth / public material</x:v>
      </x:c>
      <x:c r="H255" s="11" t="str">
        <x:v>no external trace reported</x:v>
      </x:c>
      <x:c r="I255" s="11" t="str">
        <x:v>source-linked lead</x:v>
      </x:c>
      <x:c r="J255" s="11" t="str">
        <x:v>https://arxiv.org/pdf/2507.05272 | role p.1; action p.1; feedback p.1; validation p.2; evaluation p.1</x:v>
      </x:c>
      <x:c r="K255" s="11" t="str">
        <x:v>on a comprehensive benchmark set of deterministic array programs in Java. Our experiments indicate that LLMs are capable of producing viable candidate WPs, and that this ability can be practically enhanced through FG. Keywords: Weakest Precondition, Fuzzing, Correctness, LLMs, Verification</x:v>
      </x:c>
      <x:c r="L255" s="16" t="str">
        <x:v>A source-linked excerpt and locator are supplied as review leads for auditability.</x:v>
      </x:c>
      <x:c r="M255" s="16" t="str">
        <x:v>Code separately from principal output. Only item-level alignment between a concrete system result and a specific public external record qualifies as publicly aligned external trace.</x:v>
      </x:c>
      <x:c r="N255" s="16" t="str">
        <x:v>benchmark ground truth / public material</x:v>
      </x:c>
      <x:c r="O255" s="16" t="str">
        <x:v>The cited source supports the selected label benchmark ground truth / public material under the codebook's item-level public-record alignment criterion.</x:v>
      </x:c>
      <x:c r="P255" s="16" t="str">
        <x:v>https://arxiv.org/pdf/2507.05272 | role p.1; action p.1; feedback p.1; validation p.2; evaluation p.1</x:v>
      </x:c>
      <x:c r="Q255" s="16" t="str">
        <x:v>no</x:v>
      </x:c>
      <x:c r="R255" s="11" t="str"/>
      <x:c r="S255" s="11" t="str">
        <x:v>2026-08-12</x:v>
      </x:c>
      <x:c r="T255" s="18" t="str">
        <x:f>IF(OR(AND(N255="unresolved",LEN(O255)&gt;0,LEN(P255)&gt;0,Q255="yes"),AND(LEN(N255)&gt;0,LEN(O255)&gt;0,LEN(P255)&gt;0,OR(Q255="yes",Q255="no"))),"ready","pending")</x:f>
        <x:v>ready</x:v>
      </x:c>
    </x:row>
    <x:row r="256" ht="44" customHeight="1">
      <x:c r="A256" s="10" t="str">
        <x:v>FMS0935__lifecycle</x:v>
      </x:c>
      <x:c r="B256" s="11" t="str">
        <x:v>FMS0935</x:v>
      </x:c>
      <x:c r="C256" s="11" t="str">
        <x:v>final_multisource_132</x:v>
      </x:c>
      <x:c r="D256" s="11" t="str">
        <x:v>LLMs are All You Need? Improving Fuzz Testing for MOJO with Large Language Models</x:v>
      </x:c>
      <x:c r="E256" s="11" t="str">
        <x:v>lifecycle coverage</x:v>
      </x:c>
      <x:c r="F256" s="11" t="str">
        <x:v>multi-label</x:v>
      </x:c>
      <x:c r="G256" s="11" t="str">
        <x:v>execution observation;path and input exploration;reproduction and validation</x:v>
      </x:c>
      <x:c r="H256" s="11" t="str">
        <x:v>execution observation;path and input exploration</x:v>
      </x:c>
      <x:c r="I256" s="11" t="str">
        <x:v>source-linked lead</x:v>
      </x:c>
      <x:c r="J256" s="11" t="str">
        <x:v>https://arxiv.org/pdf/2510.10179 | role p.1; action p.1; feedback p.1; validation p.1; evaluation p.1</x:v>
      </x:c>
      <x:c r="K256" s="11" t="str">
        <x:v>efficient code that rivals the perfor- frameworks and a sufficient corpus for LLM-based testing, which exacerbates model hallucination. In this case, LLMs will generate mance of C while maintaining seamless compatibility with syntactically val</x:v>
      </x:c>
      <x:c r="L256" s="16" t="str">
        <x:v>A source-linked excerpt and locator are supplied as review leads for auditability.</x:v>
      </x:c>
      <x:c r="M256" s="16" t="str">
        <x:v>Mark only observable lifecycle actions or outputs. Reporting and audit requires explicit packaging, routing, disclosure, or audit transition; a report name alone is insufficient.</x:v>
      </x:c>
      <x:c r="N256" s="16" t="str">
        <x:v>path and input exploration;execution observation;reproduction and validation</x:v>
      </x:c>
      <x:c r="O256" s="16" t="str">
        <x:v>The cited source supports the selected label path and input exploration;execution observation;reproduction and validation; only observable workflow actions or outputs were retained.</x:v>
      </x:c>
      <x:c r="P256" s="16" t="str">
        <x:v>https://arxiv.org/pdf/2510.10179 | role p.1; action p.1; feedback p.1; validation p.1; evaluation p.1</x:v>
      </x:c>
      <x:c r="Q256" s="16" t="str">
        <x:v>no</x:v>
      </x:c>
      <x:c r="R256" s="11" t="str"/>
      <x:c r="S256" s="11" t="str">
        <x:v>2026-08-12</x:v>
      </x:c>
      <x:c r="T256" s="18" t="str">
        <x:f>IF(OR(AND(N256="unresolved",LEN(O256)&gt;0,LEN(P256)&gt;0,Q256="yes"),AND(LEN(N256)&gt;0,LEN(O256)&gt;0,LEN(P256)&gt;0,OR(Q256="yes",Q256="no"))),"ready","pending")</x:f>
        <x:v>ready</x:v>
      </x:c>
    </x:row>
    <x:row r="257" ht="44" customHeight="1">
      <x:c r="A257" s="10" t="str">
        <x:v>FMS0935__capability</x:v>
      </x:c>
      <x:c r="B257" s="11" t="str">
        <x:v>FMS0935</x:v>
      </x:c>
      <x:c r="C257" s="11" t="str">
        <x:v>final_multisource_132</x:v>
      </x:c>
      <x:c r="D257" s="11" t="str">
        <x:v>LLMs are All You Need? Improving Fuzz Testing for MOJO with Large Language Models</x:v>
      </x:c>
      <x:c r="E257" s="11" t="str">
        <x:v>cross-stage capability</x:v>
      </x:c>
      <x:c r="F257" s="11" t="str">
        <x:v>multi-label</x:v>
      </x:c>
      <x:c r="G257" s="11" t="str">
        <x:v>failure reuse / strategy update;feedback interpretation / loop adjustment;validation organization / evidence packaging</x:v>
      </x:c>
      <x:c r="H257" s="11" t="str">
        <x:v>context aggregation / rule extraction;failure reuse / strategy update;feedback interpretation / loop adjustment;tool routing / strategy routing</x:v>
      </x:c>
      <x:c r="I257" s="11" t="str">
        <x:v>source-linked lead</x:v>
      </x:c>
      <x:c r="J257" s="11" t="str">
        <x:v>https://arxiv.org/pdf/2510.10179 | role p.1; action p.1; feedback p.1; validation p.1; evaluation p.1</x:v>
      </x:c>
      <x:c r="K257" s="11" t="str">
        <x:v>epresents an important step towards enhancing AI- LLM prompts based on runtime feedback for test case mu- driven application’s efficiency and computational performance, tation, enabling an iterative learning process that continuously fostering the broader adoption and accelerated progress of enhances fuzzing efficiency and bug detection performan</x:v>
      </x:c>
      <x:c r="L257" s="16" t="str">
        <x:v>A source-linked excerpt and locator are supplied as review leads for auditability.</x:v>
      </x:c>
      <x:c r="M257" s="16" t="str">
        <x:v>Require an explicit cross-stage connection. Information must guide later action; feedback must alter later action; packaging must assemble prior outputs; governance must enforce an actual gate.</x:v>
      </x:c>
      <x:c r="N257" s="16" t="str">
        <x:v>feedback interpretation / loop adjustment;validation organization / evidence packaging;failure reuse / strategy update</x:v>
      </x:c>
      <x:c r="O257" s="16" t="str">
        <x:v>The cited source supports the selected label feedback interpretation / loop adjustment;validation organization / evidence packaging;failure reuse / strategy update; each retained label requires an explicit connection that guides later action, feedback, packaging, or a gate.</x:v>
      </x:c>
      <x:c r="P257" s="16" t="str">
        <x:v>https://arxiv.org/pdf/2510.10179 | role p.1; action p.1; feedback p.1; validation p.1; evaluation p.1</x:v>
      </x:c>
      <x:c r="Q257" s="16" t="str">
        <x:v>no</x:v>
      </x:c>
      <x:c r="R257" s="11" t="str"/>
      <x:c r="S257" s="11" t="str">
        <x:v>2026-08-12</x:v>
      </x:c>
      <x:c r="T257" s="18" t="str">
        <x:f>IF(OR(AND(N257="unresolved",LEN(O257)&gt;0,LEN(P257)&gt;0,Q257="yes"),AND(LEN(N257)&gt;0,LEN(O257)&gt;0,LEN(P257)&gt;0,OR(Q257="yes",Q257="no"))),"ready","pending")</x:f>
        <x:v>ready</x:v>
      </x:c>
    </x:row>
    <x:row r="258" ht="44" customHeight="1">
      <x:c r="A258" s="10" t="str">
        <x:v>FMS0935__external_traceability</x:v>
      </x:c>
      <x:c r="B258" s="11" t="str">
        <x:v>FMS0935</x:v>
      </x:c>
      <x:c r="C258" s="11" t="str">
        <x:v>final_multisource_132</x:v>
      </x:c>
      <x:c r="D258" s="11" t="str">
        <x:v>LLMs are All You Need? Improving Fuzz Testing for MOJO with Large Language Models</x:v>
      </x:c>
      <x:c r="E258" s="11" t="str">
        <x:v>external traceability</x:v>
      </x:c>
      <x:c r="F258" s="11" t="str">
        <x:v>single-label</x:v>
      </x:c>
      <x:c r="G258" s="11" t="str">
        <x:v>benchmark ground truth / public material</x:v>
      </x:c>
      <x:c r="H258" s="11" t="str">
        <x:v>no external trace reported</x:v>
      </x:c>
      <x:c r="I258" s="11" t="str">
        <x:v>source-linked lead</x:v>
      </x:c>
      <x:c r="J258" s="11" t="str">
        <x:v>https://arxiv.org/pdf/2510.10179 | role p.1; action p.1; feedback p.1; validation p.1; evaluation p.1</x:v>
      </x:c>
      <x:c r="K258" s="11" t="str">
        <x:v>enhances fuzzing efficiency and bug detection performance. Our experimental results demonstrate that MOJOFuzzer significantly AI technologies. As an emerging programming language de- enhances test validity, API coverage, and bug detection per- signed explicitly for AI, MOJO has gained significant attention formance, outperforming traditional fuzz testing</x:v>
      </x:c>
      <x:c r="L258" s="16" t="str">
        <x:v>A source-linked excerpt and locator are supplied as review leads for auditability.</x:v>
      </x:c>
      <x:c r="M258" s="16" t="str">
        <x:v>Code separately from principal output. Only item-level alignment between a concrete system result and a specific public external record qualifies as publicly aligned external trace.</x:v>
      </x:c>
      <x:c r="N258" s="16" t="str">
        <x:v>benchmark ground truth / public material</x:v>
      </x:c>
      <x:c r="O258" s="16" t="str">
        <x:v>The cited source supports the selected label benchmark ground truth / public material under the codebook's item-level public-record alignment criterion.</x:v>
      </x:c>
      <x:c r="P258" s="16" t="str">
        <x:v>https://arxiv.org/pdf/2510.10179 | role p.1; action p.1; feedback p.1; validation p.1; evaluation p.1</x:v>
      </x:c>
      <x:c r="Q258" s="16" t="str">
        <x:v>no</x:v>
      </x:c>
      <x:c r="R258" s="11" t="str"/>
      <x:c r="S258" s="11" t="str">
        <x:v>2026-08-12</x:v>
      </x:c>
      <x:c r="T258" s="18" t="str">
        <x:f>IF(OR(AND(N258="unresolved",LEN(O258)&gt;0,LEN(P258)&gt;0,Q258="yes"),AND(LEN(N258)&gt;0,LEN(O258)&gt;0,LEN(P258)&gt;0,OR(Q258="yes",Q258="no"))),"ready","pending")</x:f>
        <x:v>ready</x:v>
      </x:c>
    </x:row>
    <x:row r="259" ht="44" customHeight="1">
      <x:c r="A259" s="10" t="str">
        <x:v>FMS0945__lifecycle</x:v>
      </x:c>
      <x:c r="B259" s="11" t="str">
        <x:v>FMS0945</x:v>
      </x:c>
      <x:c r="C259" s="11" t="str">
        <x:v>final_multisource_132</x:v>
      </x:c>
      <x:c r="D259" s="11" t="str">
        <x:v>Locus: Agentic Predicate Synthesis for Directed Fuzzing</x:v>
      </x:c>
      <x:c r="E259" s="11" t="str">
        <x:v>lifecycle coverage</x:v>
      </x:c>
      <x:c r="F259" s="11" t="str">
        <x:v>multi-label</x:v>
      </x:c>
      <x:c r="G259" s="11" t="str">
        <x:v>candidate analysis;execution observation;path and input exploration;reproduction and validation</x:v>
      </x:c>
      <x:c r="H259" s="11" t="str">
        <x:v>candidate analysis;execution observation;path and input exploration;reporting and audit</x:v>
      </x:c>
      <x:c r="I259" s="11" t="str">
        <x:v>source-linked lead</x:v>
      </x:c>
      <x:c r="J259" s="11" t="str">
        <x:v>https://obj.umiacs.umd.edu/locus/2508.21302v3.pdf | role p.1; action p.1; feedback p.1; validation p.1; evaluation p.1</x:v>
      </x:c>
      <x:c r="K259" s="11" t="str">
        <x:v>g inputs, most existing techniques alize to diverse programs, Locus features an agentic framework rely on metrics based on control flow proximity, e.g., the distance to with program analysis tools to synthesize and iteratively refine the target location in the control flow graph, or heur</x:v>
      </x:c>
      <x:c r="L259" s="16" t="str">
        <x:v>A source-linked excerpt and locator are supplied as review leads for auditability.</x:v>
      </x:c>
      <x:c r="M259" s="16" t="str">
        <x:v>Mark only observable lifecycle actions or outputs. Reporting and audit requires explicit packaging, routing, disclosure, or audit transition; a report name alone is insufficient.</x:v>
      </x:c>
      <x:c r="N259" s="16" t="str">
        <x:v>candidate analysis;path and input exploration;execution observation;reproduction and validation</x:v>
      </x:c>
      <x:c r="O259" s="16" t="str">
        <x:v>The cited source supports the selected label candidate analysis;path and input exploration;execution observation;reproduction and validation; only observable workflow actions or outputs were retained.</x:v>
      </x:c>
      <x:c r="P259" s="16" t="str">
        <x:v>https://obj.umiacs.umd.edu/locus/2508.21302v3.pdf | role p.1; action p.1; feedback p.1; validation p.1; evaluation p.1</x:v>
      </x:c>
      <x:c r="Q259" s="16" t="str">
        <x:v>no</x:v>
      </x:c>
      <x:c r="R259" s="11" t="str"/>
      <x:c r="S259" s="11" t="str">
        <x:v>2026-08-12</x:v>
      </x:c>
      <x:c r="T259" s="18" t="str">
        <x:f>IF(OR(AND(N259="unresolved",LEN(O259)&gt;0,LEN(P259)&gt;0,Q259="yes"),AND(LEN(N259)&gt;0,LEN(O259)&gt;0,LEN(P259)&gt;0,OR(Q259="yes",Q259="no"))),"ready","pending")</x:f>
        <x:v>ready</x:v>
      </x:c>
    </x:row>
    <x:row r="260" ht="44" customHeight="1">
      <x:c r="A260" s="10" t="str">
        <x:v>FMS0945__capability</x:v>
      </x:c>
      <x:c r="B260" s="11" t="str">
        <x:v>FMS0945</x:v>
      </x:c>
      <x:c r="C260" s="11" t="str">
        <x:v>final_multisource_132</x:v>
      </x:c>
      <x:c r="D260" s="11" t="str">
        <x:v>Locus: Agentic Predicate Synthesis for Directed Fuzzing</x:v>
      </x:c>
      <x:c r="E260" s="11" t="str">
        <x:v>cross-stage capability</x:v>
      </x:c>
      <x:c r="F260" s="11" t="str">
        <x:v>multi-label</x:v>
      </x:c>
      <x:c r="G260" s="11" t="str">
        <x:v>context aggregation / rule extraction;failure reuse / strategy update;feedback interpretation / loop adjustment;tool routing / strategy routing;validation organization / evidence packaging</x:v>
      </x:c>
      <x:c r="H260" s="11" t="str">
        <x:v>context aggregation / rule extraction;feedback interpretation / loop adjustment;tool routing / strategy routing;validation organization / evidence packaging</x:v>
      </x:c>
      <x:c r="I260" s="11" t="str">
        <x:v>source-linked lead</x:v>
      </x:c>
      <x:c r="J260" s="11" t="str">
        <x:v>https://obj.umiacs.umd.edu/locus/2508.21302v3.pdf | role p.1; action p.1; feedback p.1; validation p.1; evaluation p.1</x:v>
      </x:c>
      <x:c r="K260" s="11" t="str">
        <x:v>target program states. It has broad applications, such as debugging system crashes, confirming reported bugs, and generating exploits for potential vulnerabilities. This task is inherently challenging 1 Introduction because target states are often deeply nested in the program, while Directed Grey-box Fuzzing (DGF)</x:v>
      </x:c>
      <x:c r="L260" s="16" t="str">
        <x:v>A source-linked excerpt and locator are supplied as review leads for auditability.</x:v>
      </x:c>
      <x:c r="M260" s="16" t="str">
        <x:v>Require an explicit cross-stage connection. Information must guide later action; feedback must alter later action; packaging must assemble prior outputs; governance must enforce an actual gate.</x:v>
      </x:c>
      <x:c r="N260" s="16" t="str">
        <x:v>context aggregation / rule extraction;tool routing / strategy routing;feedback interpretation / loop adjustment;validation organization / evidence packaging;failure reuse / strategy update</x:v>
      </x:c>
      <x:c r="O260"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260" s="16" t="str">
        <x:v>https://obj.umiacs.umd.edu/locus/2508.21302v3.pdf | role p.1; action p.1; feedback p.1; validation p.1; evaluation p.1</x:v>
      </x:c>
      <x:c r="Q260" s="16" t="str">
        <x:v>no</x:v>
      </x:c>
      <x:c r="R260" s="11" t="str"/>
      <x:c r="S260" s="11" t="str">
        <x:v>2026-08-12</x:v>
      </x:c>
      <x:c r="T260" s="18" t="str">
        <x:f>IF(OR(AND(N260="unresolved",LEN(O260)&gt;0,LEN(P260)&gt;0,Q260="yes"),AND(LEN(N260)&gt;0,LEN(O260)&gt;0,LEN(P260)&gt;0,OR(Q260="yes",Q260="no"))),"ready","pending")</x:f>
        <x:v>ready</x:v>
      </x:c>
    </x:row>
    <x:row r="261" ht="44" customHeight="1">
      <x:c r="A261" s="10" t="str">
        <x:v>FMS0945__principal_evidence</x:v>
      </x:c>
      <x:c r="B261" s="11" t="str">
        <x:v>FMS0945</x:v>
      </x:c>
      <x:c r="C261" s="11" t="str">
        <x:v>final_multisource_132</x:v>
      </x:c>
      <x:c r="D261" s="11" t="str">
        <x:v>Locus: Agentic Predicate Synthesis for Directed Fuzzing</x:v>
      </x:c>
      <x:c r="E261" s="11" t="str">
        <x:v>principal reported evidence output</x:v>
      </x:c>
      <x:c r="F261" s="11" t="str">
        <x:v>single-label</x:v>
      </x:c>
      <x:c r="G261" s="11" t="str">
        <x:v>reproducible validation</x:v>
      </x:c>
      <x:c r="H261" s="11" t="str">
        <x:v>controlled task completion</x:v>
      </x:c>
      <x:c r="I261" s="11" t="str">
        <x:v>source-linked lead</x:v>
      </x:c>
      <x:c r="J261" s="11" t="str">
        <x:v>https://obj.umiacs.umd.edu/locus/2508.21302v3.pdf | role p.1; action p.1; feedback p.1; validation p.1; evaluation p.1</x:v>
      </x:c>
      <x:c r="K261" s="11" t="str">
        <x:v>thus difficult to generalize to diverse target states and programs. Concept (PoC) exploits of vulnerabilities [7, 56]. While the original We present Locus, a novel framework to improve the efficiency purpose of directed fuzzing is largely not for discovering new bugs, of directed fuzzing. Our key insight is to synthesize predicates</x:v>
      </x:c>
      <x:c r="L261" s="16" t="str">
        <x:v>A source-linked excerpt and locator are supplied as review leads for auditability.</x:v>
      </x:c>
      <x:c r="M261" s="16" t="str">
        <x:v>Select the observable result most directly supporting the main finding. Benchmark ground truth or aggregate CVE counts do not automatically establish externally traceable material.</x:v>
      </x:c>
      <x:c r="N261" s="16" t="str">
        <x:v>reproducible validation</x:v>
      </x:c>
      <x:c r="O261" s="16" t="str">
        <x:v>The cited source supports the selected label reproducible validation as the main observable result reported for the study.</x:v>
      </x:c>
      <x:c r="P261" s="16" t="str">
        <x:v>https://obj.umiacs.umd.edu/locus/2508.21302v3.pdf | role p.1; action p.1; feedback p.1; validation p.1; evaluation p.1</x:v>
      </x:c>
      <x:c r="Q261" s="16" t="str">
        <x:v>no</x:v>
      </x:c>
      <x:c r="R261" s="11" t="str"/>
      <x:c r="S261" s="11" t="str">
        <x:v>2026-08-12</x:v>
      </x:c>
      <x:c r="T261" s="18" t="str">
        <x:f>IF(OR(AND(N261="unresolved",LEN(O261)&gt;0,LEN(P261)&gt;0,Q261="yes"),AND(LEN(N261)&gt;0,LEN(O261)&gt;0,LEN(P261)&gt;0,OR(Q261="yes",Q261="no"))),"ready","pending")</x:f>
        <x:v>ready</x:v>
      </x:c>
    </x:row>
    <x:row r="262" ht="44" customHeight="1">
      <x:c r="A262" s="10" t="str">
        <x:v>FMS0964__lifecycle</x:v>
      </x:c>
      <x:c r="B262" s="11" t="str">
        <x:v>FMS0964</x:v>
      </x:c>
      <x:c r="C262" s="11" t="str">
        <x:v>final_multisource_132</x:v>
      </x:c>
      <x:c r="D262" s="11" t="str">
        <x:v>MARVEL: Multi-Agent RTL Vulnerability Extraction using Large Language Models</x:v>
      </x:c>
      <x:c r="E262" s="11" t="str">
        <x:v>lifecycle coverage</x:v>
      </x:c>
      <x:c r="F262" s="11" t="str">
        <x:v>multi-label</x:v>
      </x:c>
      <x:c r="G262" s="11" t="str">
        <x:v>candidate analysis;execution observation;reporting and audit</x:v>
      </x:c>
      <x:c r="H262" s="11" t="str">
        <x:v>candidate analysis;execution observation;reporting and audit;reproduction and validation</x:v>
      </x:c>
      <x:c r="I262" s="11" t="str">
        <x:v>source-linked lead</x:v>
      </x:c>
      <x:c r="J262" s="11" t="str">
        <x:v>https://arxiv.org/pdf/2505.11963 | role p.1; action p.1; feedback p.2; validation p.1; evaluation p.2</x:v>
      </x:c>
      <x:c r="K262" s="11" t="str">
        <x:v>h existing tools. We improve the state of the art by proposing MARVEL, a multi-agent LLM framework for a unified approach to decision-making, tool use, and reasoning. arXiv:2505.11963v3 [cs.CR] 23 Feb 2026 MARVEL mimics the cognitive pro</x:v>
      </x:c>
      <x:c r="L262" s="16" t="str">
        <x:v>A source-linked excerpt and locator are supplied as review leads for auditability.</x:v>
      </x:c>
      <x:c r="M262" s="16" t="str">
        <x:v>Mark only observable lifecycle actions or outputs. Reporting and audit requires explicit packaging, routing, disclosure, or audit transition; a report name alone is insufficient.</x:v>
      </x:c>
      <x:c r="N262" s="16" t="str">
        <x:v>candidate analysis;execution observation;reporting and audit</x:v>
      </x:c>
      <x:c r="O262" s="16" t="str">
        <x:v>The cited source supports the selected label candidate analysis;execution observation;reporting and audit; only observable workflow actions or outputs were retained.</x:v>
      </x:c>
      <x:c r="P262" s="16" t="str">
        <x:v>https://arxiv.org/pdf/2505.11963 | role p.1; action p.1; feedback p.2; validation p.1; evaluation p.2</x:v>
      </x:c>
      <x:c r="Q262" s="16" t="str">
        <x:v>no</x:v>
      </x:c>
      <x:c r="R262" s="11" t="str"/>
      <x:c r="S262" s="11" t="str">
        <x:v>2026-08-12</x:v>
      </x:c>
      <x:c r="T262" s="18" t="str">
        <x:f>IF(OR(AND(N262="unresolved",LEN(O262)&gt;0,LEN(P262)&gt;0,Q262="yes"),AND(LEN(N262)&gt;0,LEN(O262)&gt;0,LEN(P262)&gt;0,OR(Q262="yes",Q262="no"))),"ready","pending")</x:f>
        <x:v>ready</x:v>
      </x:c>
    </x:row>
    <x:row r="263" ht="44" customHeight="1">
      <x:c r="A263" s="10" t="str">
        <x:v>FMS0964__capability</x:v>
      </x:c>
      <x:c r="B263" s="11" t="str">
        <x:v>FMS0964</x:v>
      </x:c>
      <x:c r="C263" s="11" t="str">
        <x:v>final_multisource_132</x:v>
      </x:c>
      <x:c r="D263" s="11" t="str">
        <x:v>MARVEL: Multi-Agent RTL Vulnerability Extraction using Large Language Models</x:v>
      </x:c>
      <x:c r="E263" s="11" t="str">
        <x:v>cross-stage capability</x:v>
      </x:c>
      <x:c r="F263" s="11" t="str">
        <x:v>multi-label</x:v>
      </x:c>
      <x:c r="G263" s="11" t="str">
        <x:v>context aggregation / rule extraction;feedback interpretation / loop adjustment;long-horizon state management;tool routing / strategy routing</x:v>
      </x:c>
      <x:c r="H263" s="11" t="str">
        <x:v>context aggregation / rule extraction;feedback interpretation / loop adjustment;long-horizon state management;tool routing / strategy routing;validation organization / evidence packaging</x:v>
      </x:c>
      <x:c r="I263" s="11" t="str">
        <x:v>source-linked lead</x:v>
      </x:c>
      <x:c r="J263" s="11" t="str">
        <x:v>https://arxiv.org/pdf/2505.11963 | role p.1; action p.1; feedback p.2; validation p.1; evaluation p.2</x:v>
      </x:c>
      <x:c r="K263" s="11" t="str">
        <x:v>an RTL designer or verification engineer while debugging a digital design. Bug-hunting might involve multiple tools to iteratively localize the cause of a misbehaving design. This process can be emulated in a multi-agent framework [13]. MARVEL is a multi-agent framework that implements a unified approach to decision-making, tool usage, and reasoning towards the goal of RTL bug detection. It uses a Supervisor-Executor architecture [11]. The supervisor manages communication and coord</x:v>
      </x:c>
      <x:c r="L263" s="16" t="str">
        <x:v>A source-linked excerpt and locator are supplied as review leads for auditability.</x:v>
      </x:c>
      <x:c r="M263" s="16" t="str">
        <x:v>Require an explicit cross-stage connection. Information must guide later action; feedback must alter later action; packaging must assemble prior outputs; governance must enforce an actual gate.</x:v>
      </x:c>
      <x:c r="N263" s="16" t="str">
        <x:v>context aggregation / rule extraction;tool routing / strategy routing;feedback interpretation / loop adjustment;long-horizon state management</x:v>
      </x:c>
      <x:c r="O263"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263" s="16" t="str">
        <x:v>https://arxiv.org/pdf/2505.11963 | role p.1; action p.1; feedback p.2; validation p.1; evaluation p.2</x:v>
      </x:c>
      <x:c r="Q263" s="16" t="str">
        <x:v>no</x:v>
      </x:c>
      <x:c r="R263" s="11" t="str"/>
      <x:c r="S263" s="11" t="str">
        <x:v>2026-08-12</x:v>
      </x:c>
      <x:c r="T263" s="18" t="str">
        <x:f>IF(OR(AND(N263="unresolved",LEN(O263)&gt;0,LEN(P263)&gt;0,Q263="yes"),AND(LEN(N263)&gt;0,LEN(O263)&gt;0,LEN(P263)&gt;0,OR(Q263="yes",Q263="no"))),"ready","pending")</x:f>
        <x:v>ready</x:v>
      </x:c>
    </x:row>
    <x:row r="264" ht="44" customHeight="1">
      <x:c r="A264" s="10" t="str">
        <x:v>FMS0964__principal_evidence</x:v>
      </x:c>
      <x:c r="B264" s="11" t="str">
        <x:v>FMS0964</x:v>
      </x:c>
      <x:c r="C264" s="11" t="str">
        <x:v>final_multisource_132</x:v>
      </x:c>
      <x:c r="D264" s="11" t="str">
        <x:v>MARVEL: Multi-Agent RTL Vulnerability Extraction using Large Language Models</x:v>
      </x:c>
      <x:c r="E264" s="11" t="str">
        <x:v>principal reported evidence output</x:v>
      </x:c>
      <x:c r="F264" s="11" t="str">
        <x:v>single-label</x:v>
      </x:c>
      <x:c r="G264" s="11" t="str">
        <x:v>candidate judgment</x:v>
      </x:c>
      <x:c r="H264" s="11" t="str">
        <x:v>reproducible validation</x:v>
      </x:c>
      <x:c r="I264" s="11" t="str">
        <x:v>source-linked lead</x:v>
      </x:c>
      <x:c r="J264" s="11" t="str">
        <x:v>https://arxiv.org/pdf/2505.11963 | role p.1; action p.1; feedback p.2; validation p.1; evaluation p.2</x:v>
      </x:c>
      <x:c r="K264" s="11" t="str">
        <x:v>that devises the security policy of the system-on-chips (SoCs) using its security documentation. It delegates tasks to validate the security policy to individual executor agents. Each executor agent carries out its assigned task using a particular strategy. Each executor agent may use one or more tools to identify potential security bugs in the design and send the results back to the supervisor</x:v>
      </x:c>
      <x:c r="L264" s="16" t="str">
        <x:v>A source-linked excerpt and locator are supplied as review leads for auditability.</x:v>
      </x:c>
      <x:c r="M264" s="16" t="str">
        <x:v>Select the observable result most directly supporting the main finding. Benchmark ground truth or aggregate CVE counts do not automatically establish externally traceable material.</x:v>
      </x:c>
      <x:c r="N264" s="16" t="str">
        <x:v>candidate judgment</x:v>
      </x:c>
      <x:c r="O264" s="16" t="str">
        <x:v>The cited source supports the selected label candidate judgment as the main observable result reported for the study.</x:v>
      </x:c>
      <x:c r="P264" s="16" t="str">
        <x:v>https://arxiv.org/pdf/2505.11963 | role p.1; action p.1; feedback p.2; validation p.1; evaluation p.2</x:v>
      </x:c>
      <x:c r="Q264" s="16" t="str">
        <x:v>no</x:v>
      </x:c>
      <x:c r="R264" s="11" t="str"/>
      <x:c r="S264" s="11" t="str">
        <x:v>2026-08-12</x:v>
      </x:c>
      <x:c r="T264" s="18" t="str">
        <x:f>IF(OR(AND(N264="unresolved",LEN(O264)&gt;0,LEN(P264)&gt;0,Q264="yes"),AND(LEN(N264)&gt;0,LEN(O264)&gt;0,LEN(P264)&gt;0,OR(Q264="yes",Q264="no"))),"ready","pending")</x:f>
        <x:v>ready</x:v>
      </x:c>
    </x:row>
    <x:row r="265" ht="44" customHeight="1">
      <x:c r="A265" s="10" t="str">
        <x:v>FMS0966__lifecycle</x:v>
      </x:c>
      <x:c r="B265" s="11" t="str">
        <x:v>FMS0966</x:v>
      </x:c>
      <x:c r="C265" s="11" t="str">
        <x:v>final_multisource_132</x:v>
      </x:c>
      <x:c r="D265" s="11" t="str">
        <x:v>MASFuzzer: Fuzz Driver Generation and Adaptive Scheduling via Multidimensional API Sequences</x:v>
      </x:c>
      <x:c r="E265" s="11" t="str">
        <x:v>lifecycle coverage</x:v>
      </x:c>
      <x:c r="F265" s="11" t="str">
        <x:v>multi-label</x:v>
      </x:c>
      <x:c r="G265" s="11" t="str">
        <x:v>execution observation;path and input exploration;reproduction and validation</x:v>
      </x:c>
      <x:c r="H265" s="11" t="str">
        <x:v>candidate analysis;execution observation;path and input exploration</x:v>
      </x:c>
      <x:c r="I265" s="11" t="str">
        <x:v>source-linked lead</x:v>
      </x:c>
      <x:c r="J265" s="11" t="str">
        <x:v>https://arxiv.org/pdf/2604.17977 | role p.1; action p.1; feedback p.1; validation p.4; evaluation p.1</x:v>
      </x:c>
      <x:c r="K265" s="11" t="str">
        <x:v>e of both academia and industry have devoted increasing efforts to Large Language Models (LLMs) to automate fuzz-driver gener- automate fuzz-driver generation. ation, the resulting drivers still frequently fall short in covering</x:v>
      </x:c>
      <x:c r="L265" s="16" t="str">
        <x:v>A source-linked excerpt and locator are supplied as review leads for auditability.</x:v>
      </x:c>
      <x:c r="M265" s="16" t="str">
        <x:v>Mark only observable lifecycle actions or outputs. Reporting and audit requires explicit packaging, routing, disclosure, or audit transition; a report name alone is insufficient.</x:v>
      </x:c>
      <x:c r="N265" s="16" t="str">
        <x:v>path and input exploration;execution observation;reproduction and validation</x:v>
      </x:c>
      <x:c r="O265" s="16" t="str">
        <x:v>The cited source supports the selected label path and input exploration;execution observation;reproduction and validation; only observable workflow actions or outputs were retained.</x:v>
      </x:c>
      <x:c r="P265" s="16" t="str">
        <x:v>https://arxiv.org/pdf/2604.17977 | role p.1; action p.1; feedback p.1; validation p.4; evaluation p.1</x:v>
      </x:c>
      <x:c r="Q265" s="16" t="str">
        <x:v>no</x:v>
      </x:c>
      <x:c r="R265" s="11" t="str"/>
      <x:c r="S265" s="11" t="str">
        <x:v>2026-08-12</x:v>
      </x:c>
      <x:c r="T265" s="18" t="str">
        <x:f>IF(OR(AND(N265="unresolved",LEN(O265)&gt;0,LEN(P265)&gt;0,Q265="yes"),AND(LEN(N265)&gt;0,LEN(O265)&gt;0,LEN(P265)&gt;0,OR(Q265="yes",Q265="no"))),"ready","pending")</x:f>
        <x:v>ready</x:v>
      </x:c>
    </x:row>
    <x:row r="266" ht="44" customHeight="1">
      <x:c r="A266" s="10" t="str">
        <x:v>FMS0966__capability</x:v>
      </x:c>
      <x:c r="B266" s="11" t="str">
        <x:v>FMS0966</x:v>
      </x:c>
      <x:c r="C266" s="11" t="str">
        <x:v>final_multisource_132</x:v>
      </x:c>
      <x:c r="D266" s="11" t="str">
        <x:v>MASFuzzer: Fuzz Driver Generation and Adaptive Scheduling via Multidimensional API Sequences</x:v>
      </x:c>
      <x:c r="E266" s="11" t="str">
        <x:v>cross-stage capability</x:v>
      </x:c>
      <x:c r="F266" s="11" t="str">
        <x:v>multi-label</x:v>
      </x:c>
      <x:c r="G266" s="11" t="str">
        <x:v>context aggregation / rule extraction;failure reuse / strategy update;feedback interpretation / loop adjustment;tool routing / strategy routing;validation organization / evidence packaging</x:v>
      </x:c>
      <x:c r="H266" s="11" t="str">
        <x:v>context aggregation / rule extraction;failure reuse / strategy update;feedback interpretation / loop adjustment;tool routing / strategy routing</x:v>
      </x:c>
      <x:c r="I266" s="11" t="str">
        <x:v>source-linked lead</x:v>
      </x:c>
      <x:c r="J266" s="11" t="str">
        <x:v>https://arxiv.org/pdf/2604.17977 | role p.1; action p.1; feedback p.1; validation p.4; evaluation p.1</x:v>
      </x:c>
      <x:c r="K266" s="11" t="str">
        <x:v>usage patterns. The second approaches automate fuzz- MASF UZZER incorporates a coverage-guided scheduler that driver generation [13], relying on Large Language Models prioritizes testing time for the most promising drivers, along with (LLMs), which have shown impressive capabilities in coding a driver-mutation strategy to evolve them, thereby sys</x:v>
      </x:c>
      <x:c r="L266" s="16" t="str">
        <x:v>A source-linked excerpt and locator are supplied as review leads for auditability.</x:v>
      </x:c>
      <x:c r="M266" s="16" t="str">
        <x:v>Require an explicit cross-stage connection. Information must guide later action; feedback must alter later action; packaging must assemble prior outputs; governance must enforce an actual gate.</x:v>
      </x:c>
      <x:c r="N266" s="16" t="str">
        <x:v>context aggregation / rule extraction;tool routing / strategy routing;feedback interpretation / loop adjustment;validation organization / evidence packaging;failure reuse / strategy update</x:v>
      </x:c>
      <x:c r="O266"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266" s="16" t="str">
        <x:v>https://arxiv.org/pdf/2604.17977 | role p.1; action p.1; feedback p.1; validation p.4; evaluation p.1</x:v>
      </x:c>
      <x:c r="Q266" s="16" t="str">
        <x:v>no</x:v>
      </x:c>
      <x:c r="R266" s="11" t="str"/>
      <x:c r="S266" s="11" t="str">
        <x:v>2026-08-12</x:v>
      </x:c>
      <x:c r="T266" s="18" t="str">
        <x:f>IF(OR(AND(N266="unresolved",LEN(O266)&gt;0,LEN(P266)&gt;0,Q266="yes"),AND(LEN(N266)&gt;0,LEN(O266)&gt;0,LEN(P266)&gt;0,OR(Q266="yes",Q266="no"))),"ready","pending")</x:f>
        <x:v>ready</x:v>
      </x:c>
    </x:row>
    <x:row r="267" ht="44" customHeight="1">
      <x:c r="A267" s="10" t="str">
        <x:v>FMS0966__external_traceability</x:v>
      </x:c>
      <x:c r="B267" s="11" t="str">
        <x:v>FMS0966</x:v>
      </x:c>
      <x:c r="C267" s="11" t="str">
        <x:v>final_multisource_132</x:v>
      </x:c>
      <x:c r="D267" s="11" t="str">
        <x:v>MASFuzzer: Fuzz Driver Generation and Adaptive Scheduling via Multidimensional API Sequences</x:v>
      </x:c>
      <x:c r="E267" s="11" t="str">
        <x:v>external traceability</x:v>
      </x:c>
      <x:c r="F267" s="11" t="str">
        <x:v>single-label</x:v>
      </x:c>
      <x:c r="G267" s="11" t="str">
        <x:v>benchmark ground truth / public material</x:v>
      </x:c>
      <x:c r="H267" s="11" t="str">
        <x:v>author-reported external clue</x:v>
      </x:c>
      <x:c r="I267" s="11" t="str">
        <x:v>source-linked lead</x:v>
      </x:c>
      <x:c r="J267" s="11" t="str">
        <x:v>https://arxiv.org/pdf/2604.17977 | role p.1; action p.1; feedback p.1; validation p.4; evaluation p.1</x:v>
      </x:c>
      <x:c r="K267" s="11" t="str">
        <x:v>with API signatures (e.g., OSS-Fuzz-Gen [14] and PromptFuzz regions. We evaluated MASF UZZER on 12 widely-used open- source libraries, and the results show that MASF UZZER achieves [15]) to more structured approaches that integrate external 8.54% more code coverage than state-of-the-art techniques. knowledge sources, such as API knowledge graphs (e.g.,</x:v>
      </x:c>
      <x:c r="L267" s="16" t="str">
        <x:v>A source-linked excerpt and locator are supplied as review leads for auditability.</x:v>
      </x:c>
      <x:c r="M267" s="16" t="str">
        <x:v>Code separately from principal output. Only item-level alignment between a concrete system result and a specific public external record qualifies as publicly aligned external trace.</x:v>
      </x:c>
      <x:c r="N267" s="16" t="str">
        <x:v>benchmark ground truth / public material</x:v>
      </x:c>
      <x:c r="O267" s="16" t="str">
        <x:v>The cited source supports the selected label benchmark ground truth / public material under the codebook's item-level public-record alignment criterion.</x:v>
      </x:c>
      <x:c r="P267" s="16" t="str">
        <x:v>https://arxiv.org/pdf/2604.17977 | role p.1; action p.1; feedback p.1; validation p.4; evaluation p.1</x:v>
      </x:c>
      <x:c r="Q267" s="16" t="str">
        <x:v>no</x:v>
      </x:c>
      <x:c r="R267" s="11" t="str"/>
      <x:c r="S267" s="11" t="str">
        <x:v>2026-08-12</x:v>
      </x:c>
      <x:c r="T267" s="18" t="str">
        <x:f>IF(OR(AND(N267="unresolved",LEN(O267)&gt;0,LEN(P267)&gt;0,Q267="yes"),AND(LEN(N267)&gt;0,LEN(O267)&gt;0,LEN(P267)&gt;0,OR(Q267="yes",Q267="no"))),"ready","pending")</x:f>
        <x:v>ready</x:v>
      </x:c>
    </x:row>
    <x:row r="268" ht="44" customHeight="1">
      <x:c r="A268" s="10" t="str">
        <x:v>FMS0969__lifecycle</x:v>
      </x:c>
      <x:c r="B268" s="11" t="str">
        <x:v>FMS0969</x:v>
      </x:c>
      <x:c r="C268" s="11" t="str">
        <x:v>final_multisource_132</x:v>
      </x:c>
      <x:c r="D268" s="11" t="str">
        <x:v>May the Feedback Be with You! Unlocking the Power of Feedback-Driven Deep Learning Framework Fuzzing via LLMs</x:v>
      </x:c>
      <x:c r="E268" s="11" t="str">
        <x:v>lifecycle coverage</x:v>
      </x:c>
      <x:c r="F268" s="11" t="str">
        <x:v>multi-label</x:v>
      </x:c>
      <x:c r="G268" s="11" t="str">
        <x:v>execution observation;path and input exploration;reproduction and validation</x:v>
      </x:c>
      <x:c r="H268" s="11" t="str">
        <x:v>execution observation;path and input exploration;reporting and audit;reproduction and validation</x:v>
      </x:c>
      <x:c r="I268" s="11" t="str">
        <x:v>source-linked lead</x:v>
      </x:c>
      <x:c r="J268" s="11" t="str">
        <x:v>https://arxiv.org/pdf/2506.17642 | role p.1; action p.1; feedback p.1; validation p.3; evaluation p.1</x:v>
      </x:c>
      <x:c r="K268" s="11" t="str">
        <x:v>tivated by their success in other fields [19]. One of the first guage Models (LLMs): analysis LLM and generation LLM.</x:v>
      </x:c>
      <x:c r="L268" s="16" t="str">
        <x:v>A source-linked excerpt and locator are supplied as review leads for auditability.</x:v>
      </x:c>
      <x:c r="M268" s="16" t="str">
        <x:v>Mark only observable lifecycle actions or outputs. Reporting and audit requires explicit packaging, routing, disclosure, or audit transition; a report name alone is insufficient.</x:v>
      </x:c>
      <x:c r="N268" s="16" t="str">
        <x:v>path and input exploration;execution observation;reproduction and validation</x:v>
      </x:c>
      <x:c r="O268" s="16" t="str">
        <x:v>The cited source supports the selected label path and input exploration;execution observation;reproduction and validation; only observable workflow actions or outputs were retained.</x:v>
      </x:c>
      <x:c r="P268" s="16" t="str">
        <x:v>https://arxiv.org/pdf/2506.17642 | role p.1; action p.1; feedback p.1; validation p.3; evaluation p.1</x:v>
      </x:c>
      <x:c r="Q268" s="16" t="str">
        <x:v>no</x:v>
      </x:c>
      <x:c r="R268" s="11" t="str"/>
      <x:c r="S268" s="11" t="str">
        <x:v>2026-08-12</x:v>
      </x:c>
      <x:c r="T268" s="18" t="str">
        <x:f>IF(OR(AND(N268="unresolved",LEN(O268)&gt;0,LEN(P268)&gt;0,Q268="yes"),AND(LEN(N268)&gt;0,LEN(O268)&gt;0,LEN(P268)&gt;0,OR(Q268="yes",Q268="no"))),"ready","pending")</x:f>
        <x:v>ready</x:v>
      </x:c>
    </x:row>
    <x:row r="269" ht="44" customHeight="1">
      <x:c r="A269" s="10" t="str">
        <x:v>FMS0969__capability</x:v>
      </x:c>
      <x:c r="B269" s="11" t="str">
        <x:v>FMS0969</x:v>
      </x:c>
      <x:c r="C269" s="11" t="str">
        <x:v>final_multisource_132</x:v>
      </x:c>
      <x:c r="D269" s="11" t="str">
        <x:v>May the Feedback Be with You! Unlocking the Power of Feedback-Driven Deep Learning Framework Fuzzing via LLMs</x:v>
      </x:c>
      <x:c r="E269" s="11" t="str">
        <x:v>cross-stage capability</x:v>
      </x:c>
      <x:c r="F269" s="11" t="str">
        <x:v>multi-label</x:v>
      </x:c>
      <x:c r="G269" s="11" t="str">
        <x:v>failure reuse / strategy update;feedback interpretation / loop adjustment;tool routing / strategy routing;validation organization / evidence packaging</x:v>
      </x:c>
      <x:c r="H269" s="11" t="str">
        <x:v>context aggregation / rule extraction;failure reuse / strategy update;feedback interpretation / loop adjustment;tool routing / strategy routing;validation organization / evidence packaging</x:v>
      </x:c>
      <x:c r="I269" s="11" t="str">
        <x:v>source-linked lead</x:v>
      </x:c>
      <x:c r="J269" s="11" t="str">
        <x:v>https://arxiv.org/pdf/2506.17642 | role p.1; action p.1; feedback p.1; validation p.3; evaluation p.1</x:v>
      </x:c>
      <x:c r="K269" s="11" t="str">
        <x:v>May the Feedback Be with You! Breaking the Seal of Feedback-Driven Deep Learning Framework Fuzzing via Large Language Models Shaoyu Yang Chunrong Fang Haifeng Lin</x:v>
      </x:c>
      <x:c r="L269" s="16" t="str">
        <x:v>A source-linked excerpt and locator are supplied as review leads for auditability.</x:v>
      </x:c>
      <x:c r="M269" s="16" t="str">
        <x:v>Require an explicit cross-stage connection. Information must guide later action; feedback must alter later action; packaging must assemble prior outputs; governance must enforce an actual gate.</x:v>
      </x:c>
      <x:c r="N269" s="16" t="str">
        <x:v>tool routing / strategy routing;feedback interpretation / loop adjustment;validation organization / evidence packaging;failure reuse / strategy update</x:v>
      </x:c>
      <x:c r="O269" s="16" t="str">
        <x:v>The cited source supports the selected label tool routing / strategy routing;feedback interpretation / loop adjustment;validation organization / evidence packaging;failure reuse / strategy update; each retained label requires an explicit connection that guides later action, feedback, packaging, or a gate.</x:v>
      </x:c>
      <x:c r="P269" s="16" t="str">
        <x:v>https://arxiv.org/pdf/2506.17642 | role p.1; action p.1; feedback p.1; validation p.3; evaluation p.1</x:v>
      </x:c>
      <x:c r="Q269" s="16" t="str">
        <x:v>no</x:v>
      </x:c>
      <x:c r="R269" s="11" t="str"/>
      <x:c r="S269" s="11" t="str">
        <x:v>2026-08-12</x:v>
      </x:c>
      <x:c r="T269" s="18" t="str">
        <x:f>IF(OR(AND(N269="unresolved",LEN(O269)&gt;0,LEN(P269)&gt;0,Q269="yes"),AND(LEN(N269)&gt;0,LEN(O269)&gt;0,LEN(P269)&gt;0,OR(Q269="yes",Q269="no"))),"ready","pending")</x:f>
        <x:v>ready</x:v>
      </x:c>
    </x:row>
    <x:row r="270" ht="44" customHeight="1">
      <x:c r="A270" s="10" t="str">
        <x:v>FMS0969__principal_evidence</x:v>
      </x:c>
      <x:c r="B270" s="11" t="str">
        <x:v>FMS0969</x:v>
      </x:c>
      <x:c r="C270" s="11" t="str">
        <x:v>final_multisource_132</x:v>
      </x:c>
      <x:c r="D270" s="11" t="str">
        <x:v>May the Feedback Be with You! Unlocking the Power of Feedback-Driven Deep Learning Framework Fuzzing via LLMs</x:v>
      </x:c>
      <x:c r="E270" s="11" t="str">
        <x:v>principal reported evidence output</x:v>
      </x:c>
      <x:c r="F270" s="11" t="str">
        <x:v>single-label</x:v>
      </x:c>
      <x:c r="G270" s="11" t="str">
        <x:v>runtime safety signal</x:v>
      </x:c>
      <x:c r="H270" s="11" t="str">
        <x:v>externally traceable material</x:v>
      </x:c>
      <x:c r="I270" s="11" t="str">
        <x:v>source-linked lead</x:v>
      </x:c>
      <x:c r="J270" s="11" t="str">
        <x:v>https://arxiv.org/pdf/2506.17642 | role p.1; action p.1; feedback p.1; validation p.3; evaluation p.1</x:v>
      </x:c>
      <x:c r="K270" s="11" t="str">
        <x:v>ectively. Additionally, ablation studies tomatically conducting such small-scale repairs, converting validate the contribution and effectiveness of each compo- invalid executions into valid ones, thereby improving code nent in FUEL ’s design. coverage and bug detection capabilities. • Real-World Contribution. So far, FUEL has detected Insight. LLMs have the potential to analyze multiple types</x:v>
      </x:c>
      <x:c r="L270" s="16" t="str">
        <x:v>A source-linked excerpt and locator are supplied as review leads for auditability.</x:v>
      </x:c>
      <x:c r="M270" s="16" t="str">
        <x:v>Select the observable result most directly supporting the main finding. Benchmark ground truth or aggregate CVE counts do not automatically establish externally traceable material.</x:v>
      </x:c>
      <x:c r="N270" s="16" t="str">
        <x:v>runtime safety signal</x:v>
      </x:c>
      <x:c r="O270" s="16" t="str">
        <x:v>The cited source supports the selected label runtime safety signal as the main observable result reported for the study.</x:v>
      </x:c>
      <x:c r="P270" s="16" t="str">
        <x:v>https://arxiv.org/pdf/2506.17642 | role p.1; action p.1; feedback p.1; validation p.3; evaluation p.1</x:v>
      </x:c>
      <x:c r="Q270" s="16" t="str">
        <x:v>no</x:v>
      </x:c>
      <x:c r="R270" s="11" t="str"/>
      <x:c r="S270" s="11" t="str">
        <x:v>2026-08-12</x:v>
      </x:c>
      <x:c r="T270" s="18" t="str">
        <x:f>IF(OR(AND(N270="unresolved",LEN(O270)&gt;0,LEN(P270)&gt;0,Q270="yes"),AND(LEN(N270)&gt;0,LEN(O270)&gt;0,LEN(P270)&gt;0,OR(Q270="yes",Q270="no"))),"ready","pending")</x:f>
        <x:v>ready</x:v>
      </x:c>
    </x:row>
    <x:row r="271" ht="44" customHeight="1">
      <x:c r="A271" s="10" t="str">
        <x:v>FMS0969__external_traceability</x:v>
      </x:c>
      <x:c r="B271" s="11" t="str">
        <x:v>FMS0969</x:v>
      </x:c>
      <x:c r="C271" s="11" t="str">
        <x:v>final_multisource_132</x:v>
      </x:c>
      <x:c r="D271" s="11" t="str">
        <x:v>May the Feedback Be with You! Unlocking the Power of Feedback-Driven Deep Learning Framework Fuzzing via LLMs</x:v>
      </x:c>
      <x:c r="E271" s="11" t="str">
        <x:v>external traceability</x:v>
      </x:c>
      <x:c r="F271" s="11" t="str">
        <x:v>single-label</x:v>
      </x:c>
      <x:c r="G271" s="11" t="str">
        <x:v>author-reported external clue</x:v>
      </x:c>
      <x:c r="H271" s="11" t="str">
        <x:v>publicly aligned external trace</x:v>
      </x:c>
      <x:c r="I271" s="11" t="str">
        <x:v>source-linked lead</x:v>
      </x:c>
      <x:c r="J271" s="11" t="str">
        <x:v>https://arxiv.org/pdf/2506.17642 | role p.1; action p.1; feedback p.1; validation p.3; evaluation p.1</x:v>
      </x:c>
      <x:c r="K271" s="11" t="str">
        <x:v>e “magnificent edifice” of fuzzing has already tests, enhancing test validity. We evaluate FUEL on the two been built, but one dark cloud still hangs in the air: Have we most popular DL frameworks, and experiment results show</x:v>
      </x:c>
      <x:c r="L271" s="16" t="str">
        <x:v>A source-linked excerpt and locator are supplied as review leads for auditability.</x:v>
      </x:c>
      <x:c r="M271" s="16" t="str">
        <x:v>Code separately from principal output. Only item-level alignment between a concrete system result and a specific public external record qualifies as publicly aligned external trace.</x:v>
      </x:c>
      <x:c r="N271" s="16" t="str">
        <x:v>author-reported external clue</x:v>
      </x:c>
      <x:c r="O271" s="16" t="str">
        <x:v>The cited source supports the selected label author-reported external clue under the codebook's item-level public-record alignment criterion.</x:v>
      </x:c>
      <x:c r="P271" s="16" t="str">
        <x:v>https://arxiv.org/pdf/2506.17642 | role p.1; action p.1; feedback p.1; validation p.3; evaluation p.1</x:v>
      </x:c>
      <x:c r="Q271" s="16" t="str">
        <x:v>no</x:v>
      </x:c>
      <x:c r="R271" s="11" t="str"/>
      <x:c r="S271" s="11" t="str">
        <x:v>2026-08-12</x:v>
      </x:c>
      <x:c r="T271" s="18" t="str">
        <x:f>IF(OR(AND(N271="unresolved",LEN(O271)&gt;0,LEN(P271)&gt;0,Q271="yes"),AND(LEN(N271)&gt;0,LEN(O271)&gt;0,LEN(P271)&gt;0,OR(Q271="yes",Q271="no"))),"ready","pending")</x:f>
        <x:v>ready</x:v>
      </x:c>
    </x:row>
    <x:row r="272" ht="44" customHeight="1">
      <x:c r="A272" s="10" t="str">
        <x:v>FMS1017__lifecycle</x:v>
      </x:c>
      <x:c r="B272" s="11" t="str">
        <x:v>FMS1017</x:v>
      </x:c>
      <x:c r="C272" s="11" t="str">
        <x:v>final_multisource_132</x:v>
      </x:c>
      <x:c r="D272" s="11" t="str">
        <x:v>Multi-Agent Penetration Testing AI for the Web</x:v>
      </x:c>
      <x:c r="E272" s="11" t="str">
        <x:v>lifecycle coverage</x:v>
      </x:c>
      <x:c r="F272" s="11" t="str">
        <x:v>multi-label</x:v>
      </x:c>
      <x:c r="G272" s="11" t="str">
        <x:v>candidate analysis;execution observation;path and input exploration;reporting and audit;reproduction and validation</x:v>
      </x:c>
      <x:c r="H272" s="11" t="str">
        <x:v>candidate analysis;execution observation;path and input exploration;reporting and audit</x:v>
      </x:c>
      <x:c r="I272" s="11" t="str">
        <x:v>source-linked lead</x:v>
      </x:c>
      <x:c r="J272" s="11" t="str">
        <x:v>https://arxiv.org/pdf/2508.20816 | role p.1; action p.1; feedback p.2; validation p.1; evaluation p.2</x:v>
      </x:c>
      <x:c r="K272" s="11" t="str">
        <x:v>versus $0.357 for failures. Success correlates strongly with re- semantic gap. LLMs demonstrate reasoning capabilities about source efficiency, enabling practical early-stopping thr</x:v>
      </x:c>
      <x:c r="L272" s="16" t="str">
        <x:v>A source-linked excerpt and locator are supplied as review leads for auditability.</x:v>
      </x:c>
      <x:c r="M272" s="16" t="str">
        <x:v>Mark only observable lifecycle actions or outputs. Reporting and audit requires explicit packaging, routing, disclosure, or audit transition; a report name alone is insufficient.</x:v>
      </x:c>
      <x:c r="N272" s="16" t="str">
        <x:v>candidate analysis;path and input exploration;execution observation;reproduction and validation;reporting and audit</x:v>
      </x:c>
      <x:c r="O272" s="16" t="str">
        <x:v>The cited source supports the selected label candidate analysis;path and input exploration;execution observation;reproduction and validation;reporting and audit; only observable workflow actions or outputs were retained.</x:v>
      </x:c>
      <x:c r="P272" s="16" t="str">
        <x:v>https://arxiv.org/pdf/2508.20816 | role p.1; action p.1; feedback p.2; validation p.1; evaluation p.2</x:v>
      </x:c>
      <x:c r="Q272" s="16" t="str">
        <x:v>no</x:v>
      </x:c>
      <x:c r="R272" s="11" t="str"/>
      <x:c r="S272" s="11" t="str">
        <x:v>2026-08-12</x:v>
      </x:c>
      <x:c r="T272" s="18" t="str">
        <x:f>IF(OR(AND(N272="unresolved",LEN(O272)&gt;0,LEN(P272)&gt;0,Q272="yes"),AND(LEN(N272)&gt;0,LEN(O272)&gt;0,LEN(P272)&gt;0,OR(Q272="yes",Q272="no"))),"ready","pending")</x:f>
        <x:v>ready</x:v>
      </x:c>
    </x:row>
    <x:row r="273" ht="44" customHeight="1">
      <x:c r="A273" s="10" t="str">
        <x:v>FMS1017__capability</x:v>
      </x:c>
      <x:c r="B273" s="11" t="str">
        <x:v>FMS1017</x:v>
      </x:c>
      <x:c r="C273" s="11" t="str">
        <x:v>final_multisource_132</x:v>
      </x:c>
      <x:c r="D273" s="11" t="str">
        <x:v>Multi-Agent Penetration Testing AI for the Web</x:v>
      </x:c>
      <x:c r="E273" s="11" t="str">
        <x:v>cross-stage capability</x:v>
      </x:c>
      <x:c r="F273" s="11" t="str">
        <x:v>multi-label</x:v>
      </x:c>
      <x:c r="G273" s="11" t="str">
        <x:v>context aggregation / rule extraction;failure reuse / strategy update;feedback interpretation / loop adjustment;governance / human gates / disclosure control;long-horizon state management;tool routing / strategy routing;validation organization / evidence packaging</x:v>
      </x:c>
      <x:c r="H273" s="11" t="str">
        <x:v>context aggregation / rule extraction;failure reuse / strategy update;feedback interpretation / loop adjustment;long-horizon state management;tool routing / strategy routing;validation organization / evidence packaging</x:v>
      </x:c>
      <x:c r="I273" s="11" t="str">
        <x:v>source-linked lead</x:v>
      </x:c>
      <x:c r="J273" s="11" t="str">
        <x:v>https://arxiv.org/pdf/2508.20816 | role p.1; action p.1; feedback p.2; validation p.1; evaluation p.2</x:v>
      </x:c>
      <x:c r="K273" s="11" t="str">
        <x:v>rame- We provide resource accounting across 104 XBOW chal- terize them), (iii) an observation stream (tool outputs, HTTP lenges, tracking token-level I/O (3.2M regular input, responses, code, telemetry), (iv) short-term memory/state (its 2 CTF Mode: Sandbox Agents (1..N). Execute tactical</x:v>
      </x:c>
      <x:c r="L273" s="16" t="str">
        <x:v>A source-linked excerpt and locator are supplied as review leads for auditability.</x:v>
      </x:c>
      <x:c r="M273" s="16" t="str">
        <x:v>Require an explicit cross-stage connection. Information must guide later action; feedback must alter later action; packaging must assemble prior outputs; governance must enforce an actual gate.</x:v>
      </x:c>
      <x:c r="N273" s="16" t="str">
        <x:v>context aggregation / rule extraction;tool routing / strategy routing;feedback interpretation / loop adjustment;validation organization / evidence packaging;long-horizon state management;failure reuse / strategy update;governance / human gates / disclosure control</x:v>
      </x:c>
      <x:c r="O273" s="16" t="str">
        <x:v>The cited source supports the selected label context aggregation / rule extraction;tool routing / strategy routing;feedback interpretation / loop adjustment;validation organization / evidence packaging;long-horizon state management;failure reuse / strategy update;governance / human gates / disclosure control; each retained label requires an explicit connection that guides later action, feedback, packaging, or a gate.</x:v>
      </x:c>
      <x:c r="P273" s="16" t="str">
        <x:v>https://arxiv.org/pdf/2508.20816 | role p.1; action p.1; feedback p.2; validation p.1; evaluation p.2</x:v>
      </x:c>
      <x:c r="Q273" s="16" t="str">
        <x:v>no</x:v>
      </x:c>
      <x:c r="R273" s="11" t="str"/>
      <x:c r="S273" s="11" t="str">
        <x:v>2026-08-12</x:v>
      </x:c>
      <x:c r="T273" s="18" t="str">
        <x:f>IF(OR(AND(N273="unresolved",LEN(O273)&gt;0,LEN(P273)&gt;0,Q273="yes"),AND(LEN(N273)&gt;0,LEN(O273)&gt;0,LEN(P273)&gt;0,OR(Q273="yes",Q273="no"))),"ready","pending")</x:f>
        <x:v>ready</x:v>
      </x:c>
    </x:row>
    <x:row r="274" ht="44" customHeight="1">
      <x:c r="A274" s="10" t="str">
        <x:v>FMS1017__principal_evidence</x:v>
      </x:c>
      <x:c r="B274" s="11" t="str">
        <x:v>FMS1017</x:v>
      </x:c>
      <x:c r="C274" s="11" t="str">
        <x:v>final_multisource_132</x:v>
      </x:c>
      <x:c r="D274" s="11" t="str">
        <x:v>Multi-Agent Penetration Testing AI for the Web</x:v>
      </x:c>
      <x:c r="E274" s="11" t="str">
        <x:v>principal reported evidence output</x:v>
      </x:c>
      <x:c r="F274" s="11" t="str">
        <x:v>single-label</x:v>
      </x:c>
      <x:c r="G274" s="11" t="str">
        <x:v>reproducible validation</x:v>
      </x:c>
      <x:c r="H274" s="11" t="str">
        <x:v>controlled task completion</x:v>
      </x:c>
      <x:c r="I274" s="11" t="str">
        <x:v>source-linked lead</x:v>
      </x:c>
      <x:c r="J274" s="11" t="str">
        <x:v>https://arxiv.org/pdf/2508.20816 | role p.1; action p.1; feedback p.2; validation p.1; evaluation p.2</x:v>
      </x:c>
      <x:c r="K274" s="11" t="str">
        <x:v>ge lan- validation, or database permissions invisible to static anal- guage model orchestration with tool-grounded execution and ysis. Conversely, business logic vulnerabilities, particularly</x:v>
      </x:c>
      <x:c r="L274" s="16" t="str">
        <x:v>A source-linked excerpt and locator are supplied as review leads for auditability.</x:v>
      </x:c>
      <x:c r="M274" s="16" t="str">
        <x:v>Select the observable result most directly supporting the main finding. Benchmark ground truth or aggregate CVE counts do not automatically establish externally traceable material.</x:v>
      </x:c>
      <x:c r="N274" s="16" t="str">
        <x:v>reproducible validation</x:v>
      </x:c>
      <x:c r="O274" s="16" t="str">
        <x:v>The cited source supports the selected label reproducible validation as the main observable result reported for the study.</x:v>
      </x:c>
      <x:c r="P274" s="16" t="str">
        <x:v>https://arxiv.org/pdf/2508.20816 | role p.1; action p.1; feedback p.2; validation p.1; evaluation p.2</x:v>
      </x:c>
      <x:c r="Q274" s="16" t="str">
        <x:v>no</x:v>
      </x:c>
      <x:c r="R274" s="11" t="str"/>
      <x:c r="S274" s="11" t="str">
        <x:v>2026-08-12</x:v>
      </x:c>
      <x:c r="T274" s="18" t="str">
        <x:f>IF(OR(AND(N274="unresolved",LEN(O274)&gt;0,LEN(P274)&gt;0,Q274="yes"),AND(LEN(N274)&gt;0,LEN(O274)&gt;0,LEN(P274)&gt;0,OR(Q274="yes",Q274="no"))),"ready","pending")</x:f>
        <x:v>ready</x:v>
      </x:c>
    </x:row>
    <x:row r="275" ht="44" customHeight="1">
      <x:c r="A275" s="10" t="str">
        <x:v>FMS1017__external_traceability</x:v>
      </x:c>
      <x:c r="B275" s="11" t="str">
        <x:v>FMS1017</x:v>
      </x:c>
      <x:c r="C275" s="11" t="str">
        <x:v>final_multisource_132</x:v>
      </x:c>
      <x:c r="D275" s="11" t="str">
        <x:v>Multi-Agent Penetration Testing AI for the Web</x:v>
      </x:c>
      <x:c r="E275" s="11" t="str">
        <x:v>external traceability</x:v>
      </x:c>
      <x:c r="F275" s="11" t="str">
        <x:v>single-label</x:v>
      </x:c>
      <x:c r="G275" s="11" t="str">
        <x:v>author-reported external clue</x:v>
      </x:c>
      <x:c r="H275" s="11" t="str">
        <x:v>benchmark ground truth / public material</x:v>
      </x:c>
      <x:c r="I275" s="11" t="str">
        <x:v>source-linked lead</x:v>
      </x:c>
      <x:c r="J275" s="11" t="str">
        <x:v>https://arxiv.org/pdf/2508.20816 | role p.1; action p.1; feedback p.2; validation p.1; evaluation p.2</x:v>
      </x:c>
      <x:c r="K275" s="11" t="str">
        <x:v>andatory proof-of-concept val- Flask. This evaluation discovered 19 vulnerabilities, with idation for all findings, and multi-agent orchestration that 14 classified as high or critical severity and 10 pending reduces the false positives and resource inefficiencies of prior CVE a</x:v>
      </x:c>
      <x:c r="L275" s="16" t="str">
        <x:v>A source-linked excerpt and locator are supplied as review leads for auditability.</x:v>
      </x:c>
      <x:c r="M275" s="16" t="str">
        <x:v>Code separately from principal output. Only item-level alignment between a concrete system result and a specific public external record qualifies as publicly aligned external trace.</x:v>
      </x:c>
      <x:c r="N275" s="16" t="str">
        <x:v>author-reported external clue</x:v>
      </x:c>
      <x:c r="O275" s="16" t="str">
        <x:v>The cited source supports the selected label author-reported external clue under the codebook's item-level public-record alignment criterion.</x:v>
      </x:c>
      <x:c r="P275" s="16" t="str">
        <x:v>https://arxiv.org/pdf/2508.20816 | role p.1; action p.1; feedback p.2; validation p.1; evaluation p.2</x:v>
      </x:c>
      <x:c r="Q275" s="16" t="str">
        <x:v>no</x:v>
      </x:c>
      <x:c r="R275" s="11" t="str"/>
      <x:c r="S275" s="11" t="str">
        <x:v>2026-08-12</x:v>
      </x:c>
      <x:c r="T275" s="18" t="str">
        <x:f>IF(OR(AND(N275="unresolved",LEN(O275)&gt;0,LEN(P275)&gt;0,Q275="yes"),AND(LEN(N275)&gt;0,LEN(O275)&gt;0,LEN(P275)&gt;0,OR(Q275="yes",Q275="no"))),"ready","pending")</x:f>
        <x:v>ready</x:v>
      </x:c>
    </x:row>
    <x:row r="276" ht="44" customHeight="1">
      <x:c r="A276" s="10" t="str">
        <x:v>FMS1024__lifecycle</x:v>
      </x:c>
      <x:c r="B276" s="11" t="str">
        <x:v>FMS1024</x:v>
      </x:c>
      <x:c r="C276" s="11" t="str">
        <x:v>final_multisource_132</x:v>
      </x:c>
      <x:c r="D276" s="11" t="str">
        <x:v>Mystique: Automated Vulnerability Patch Porting with Semantic and Syntactic-Enhanced LLM</x:v>
      </x:c>
      <x:c r="E276" s="11" t="str">
        <x:v>lifecycle coverage</x:v>
      </x:c>
      <x:c r="F276" s="11" t="str">
        <x:v>multi-label</x:v>
      </x:c>
      <x:c r="G276" s="11" t="str">
        <x:v>candidate analysis;patch validation</x:v>
      </x:c>
      <x:c r="H276" s="11" t="str">
        <x:v>candidate analysis;execution observation;patch validation;reproduction and validation</x:v>
      </x:c>
      <x:c r="I276" s="11" t="str">
        <x:v>source-linked lead</x:v>
      </x:c>
      <x:c r="J276" s="11" t="str">
        <x:v>https://chenbihuan.github.io/paper/fse25-wu-mystique.pdf | role p.1; action p.2; feedback p.1; validation p.2; evaluation p.1</x:v>
      </x:c>
      <x:c r="K276" s="11" t="str">
        <x:v>ignatures for both the original patched function and the target vulnerable function. Mystiqe then utilizes a fine-tuned LLM to generate a fixed function, which is further iteratively checked and refined to ensure successful porting. Our evaluation shows</x:v>
      </x:c>
      <x:c r="L276" s="16" t="str">
        <x:v>A source-linked excerpt and locator are supplied as review leads for auditability.</x:v>
      </x:c>
      <x:c r="M276" s="16" t="str">
        <x:v>Mark only observable lifecycle actions or outputs. Reporting and audit requires explicit packaging, routing, disclosure, or audit transition; a report name alone is insufficient.</x:v>
      </x:c>
      <x:c r="N276" s="16" t="str">
        <x:v>candidate analysis;patch validation</x:v>
      </x:c>
      <x:c r="O276" s="16" t="str">
        <x:v>The cited source supports the selected label candidate analysis;patch validation; only observable workflow actions or outputs were retained.</x:v>
      </x:c>
      <x:c r="P276" s="16" t="str">
        <x:v>https://chenbihuan.github.io/paper/fse25-wu-mystique.pdf | role p.1; action p.2; feedback p.1; validation p.2; evaluation p.1</x:v>
      </x:c>
      <x:c r="Q276" s="16" t="str">
        <x:v>no</x:v>
      </x:c>
      <x:c r="R276" s="11" t="str"/>
      <x:c r="S276" s="11" t="str">
        <x:v>2026-08-12</x:v>
      </x:c>
      <x:c r="T276" s="18" t="str">
        <x:f>IF(OR(AND(N276="unresolved",LEN(O276)&gt;0,LEN(P276)&gt;0,Q276="yes"),AND(LEN(N276)&gt;0,LEN(O276)&gt;0,LEN(P276)&gt;0,OR(Q276="yes",Q276="no"))),"ready","pending")</x:f>
        <x:v>ready</x:v>
      </x:c>
    </x:row>
    <x:row r="277" ht="44" customHeight="1">
      <x:c r="A277" s="10" t="str">
        <x:v>FMS1034__lifecycle</x:v>
      </x:c>
      <x:c r="B277" s="11" t="str">
        <x:v>FMS1034</x:v>
      </x:c>
      <x:c r="C277" s="11" t="str">
        <x:v>final_multisource_132</x:v>
      </x:c>
      <x:c r="D277" s="11" t="str">
        <x:v>Neuro-symbolic Static Analysis with LLM-generated Vulnerability Patterns</x:v>
      </x:c>
      <x:c r="E277" s="11" t="str">
        <x:v>lifecycle coverage</x:v>
      </x:c>
      <x:c r="F277" s="11" t="str">
        <x:v>multi-label</x:v>
      </x:c>
      <x:c r="G277" s="11" t="str">
        <x:v>candidate analysis;execution observation</x:v>
      </x:c>
      <x:c r="H277" s="11" t="str">
        <x:v>candidate analysis;reporting and audit</x:v>
      </x:c>
      <x:c r="I277" s="11" t="str">
        <x:v>source-linked lead</x:v>
      </x:c>
      <x:c r="J277" s="11" t="str">
        <x:v>https://arxiv.org/pdf/2504.16057 | role p.1; action p.1; feedback p.2; validation p.1; evaluation p.1</x:v>
      </x:c>
      <x:c r="K277" s="11" t="str">
        <x:v>Neuro-symbolic Static Analysis with LLM-generated Vulnerability Patterns</x:v>
      </x:c>
      <x:c r="L277" s="16" t="str">
        <x:v>A source-linked excerpt and locator are supplied as review leads for auditability.</x:v>
      </x:c>
      <x:c r="M277" s="16" t="str">
        <x:v>Mark only observable lifecycle actions or outputs. Reporting and audit requires explicit packaging, routing, disclosure, or audit transition; a report name alone is insufficient.</x:v>
      </x:c>
      <x:c r="N277" s="16" t="str">
        <x:v>candidate analysis;execution observation</x:v>
      </x:c>
      <x:c r="O277" s="16" t="str">
        <x:v>The cited source supports the selected label candidate analysis;execution observation; only observable workflow actions or outputs were retained.</x:v>
      </x:c>
      <x:c r="P277" s="16" t="str">
        <x:v>https://arxiv.org/pdf/2504.16057 | role p.1; action p.1; feedback p.2; validation p.1; evaluation p.1</x:v>
      </x:c>
      <x:c r="Q277" s="16" t="str">
        <x:v>no</x:v>
      </x:c>
      <x:c r="R277" s="11" t="str"/>
      <x:c r="S277" s="11" t="str">
        <x:v>2026-08-12</x:v>
      </x:c>
      <x:c r="T277" s="18" t="str">
        <x:f>IF(OR(AND(N277="unresolved",LEN(O277)&gt;0,LEN(P277)&gt;0,Q277="yes"),AND(LEN(N277)&gt;0,LEN(O277)&gt;0,LEN(P277)&gt;0,OR(Q277="yes",Q277="no"))),"ready","pending")</x:f>
        <x:v>ready</x:v>
      </x:c>
    </x:row>
    <x:row r="278" ht="44" customHeight="1">
      <x:c r="A278" s="10" t="str">
        <x:v>FMS1034__capability</x:v>
      </x:c>
      <x:c r="B278" s="11" t="str">
        <x:v>FMS1034</x:v>
      </x:c>
      <x:c r="C278" s="11" t="str">
        <x:v>final_multisource_132</x:v>
      </x:c>
      <x:c r="D278" s="11" t="str">
        <x:v>Neuro-symbolic Static Analysis with LLM-generated Vulnerability Patterns</x:v>
      </x:c>
      <x:c r="E278" s="11" t="str">
        <x:v>cross-stage capability</x:v>
      </x:c>
      <x:c r="F278" s="11" t="str">
        <x:v>multi-label</x:v>
      </x:c>
      <x:c r="G278" s="11" t="str">
        <x:v>context aggregation / rule extraction;failure reuse / strategy update;feedback interpretation / loop adjustment;tool routing / strategy routing</x:v>
      </x:c>
      <x:c r="H278" s="11" t="str">
        <x:v>context aggregation / rule extraction;feedback interpretation / loop adjustment;long-horizon state management;tool routing / strategy routing;validation organization / evidence packaging</x:v>
      </x:c>
      <x:c r="I278" s="11" t="str">
        <x:v>source-linked lead</x:v>
      </x:c>
      <x:c r="J278" s="11" t="str">
        <x:v>https://arxiv.org/pdf/2504.16057 | role p.1; action p.1; feedback p.2; validation p.1; evaluation p.1</x:v>
      </x:c>
      <x:c r="K278" s="11" t="str">
        <x:v>by leveraging DSL subset- without sacrificing expressiveness. The intuition is that such a re- ting and feedback-driven refinement. fined subset can be better understood by pretrained LLMs while • We develop MoCQ for Joern and CodeQL, demonstrating au- still preserving the core semantics due to the redundant nature of tomated vulnerability pattern generation across multiple lan- the DSL.</x:v>
      </x:c>
      <x:c r="L278" s="16" t="str">
        <x:v>A source-linked excerpt and locator are supplied as review leads for auditability.</x:v>
      </x:c>
      <x:c r="M278" s="16" t="str">
        <x:v>Require an explicit cross-stage connection. Information must guide later action; feedback must alter later action; packaging must assemble prior outputs; governance must enforce an actual gate.</x:v>
      </x:c>
      <x:c r="N278" s="16" t="str">
        <x:v>context aggregation / rule extraction;tool routing / strategy routing;feedback interpretation / loop adjustment;failure reuse / strategy update</x:v>
      </x:c>
      <x:c r="O278" s="16" t="str">
        <x:v>The cited source supports the selected label context aggregation / rule extraction;tool routing / strategy routing;feedback interpretation / loop adjustment;failure reuse / strategy update; each retained label requires an explicit connection that guides later action, feedback, packaging, or a gate.</x:v>
      </x:c>
      <x:c r="P278" s="16" t="str">
        <x:v>https://arxiv.org/pdf/2504.16057 | role p.1; action p.1; feedback p.2; validation p.1; evaluation p.1</x:v>
      </x:c>
      <x:c r="Q278" s="16" t="str">
        <x:v>no</x:v>
      </x:c>
      <x:c r="R278" s="11" t="str"/>
      <x:c r="S278" s="11" t="str">
        <x:v>2026-08-12</x:v>
      </x:c>
      <x:c r="T278" s="18" t="str">
        <x:f>IF(OR(AND(N278="unresolved",LEN(O278)&gt;0,LEN(P278)&gt;0,Q278="yes"),AND(LEN(N278)&gt;0,LEN(O278)&gt;0,LEN(P278)&gt;0,OR(Q278="yes",Q278="no"))),"ready","pending")</x:f>
        <x:v>ready</x:v>
      </x:c>
    </x:row>
    <x:row r="279" ht="44" customHeight="1">
      <x:c r="A279" s="10" t="str">
        <x:v>FMS1055__lifecycle</x:v>
      </x:c>
      <x:c r="B279" s="11" t="str">
        <x:v>FMS1055</x:v>
      </x:c>
      <x:c r="C279" s="11" t="str">
        <x:v>final_multisource_132</x:v>
      </x:c>
      <x:c r="D279" s="11" t="str">
        <x:v>One Signature, Multiple Payments: Demystifying and Detecting Signature Replay Vulnerabilities in Smart Contracts</x:v>
      </x:c>
      <x:c r="E279" s="11" t="str">
        <x:v>lifecycle coverage</x:v>
      </x:c>
      <x:c r="F279" s="11" t="str">
        <x:v>multi-label</x:v>
      </x:c>
      <x:c r="G279" s="11" t="str">
        <x:v>candidate analysis</x:v>
      </x:c>
      <x:c r="H279" s="11" t="str">
        <x:v>candidate analysis;execution observation;reporting and audit;reproduction and validation</x:v>
      </x:c>
      <x:c r="I279" s="11" t="str">
        <x:v>source-linked lead</x:v>
      </x:c>
      <x:c r="J279" s="11" t="str">
        <x:v>https://arxiv.org/pdf/2511.09134 | role p.1; action p.1; feedback p.5; validation p.1; evaluation p.1</x:v>
      </x:c>
      <x:c r="K279" s="11" t="str">
        <x:v>tract authority. Through signature verification, smart contracts can Language Models (LLMs) to assist in the static taint analysis of ensure that signers possess the required permissions, thus enhanc-</x:v>
      </x:c>
      <x:c r="L279" s="16" t="str">
        <x:v>A source-linked excerpt and locator are supplied as review leads for auditability.</x:v>
      </x:c>
      <x:c r="M279" s="16" t="str">
        <x:v>Mark only observable lifecycle actions or outputs. Reporting and audit requires explicit packaging, routing, disclosure, or audit transition; a report name alone is insufficient.</x:v>
      </x:c>
      <x:c r="N279" s="16" t="str">
        <x:v>candidate analysis</x:v>
      </x:c>
      <x:c r="O279" s="16" t="str">
        <x:v>The cited source supports the selected label candidate analysis; only observable workflow actions or outputs were retained.</x:v>
      </x:c>
      <x:c r="P279" s="16" t="str">
        <x:v>https://arxiv.org/pdf/2511.09134 | role p.1; action p.1; feedback p.5; validation p.1; evaluation p.1</x:v>
      </x:c>
      <x:c r="Q279" s="16" t="str">
        <x:v>no</x:v>
      </x:c>
      <x:c r="R279" s="11" t="str"/>
      <x:c r="S279" s="11" t="str">
        <x:v>2026-08-12</x:v>
      </x:c>
      <x:c r="T279" s="18" t="str">
        <x:f>IF(OR(AND(N279="unresolved",LEN(O279)&gt;0,LEN(P279)&gt;0,Q279="yes"),AND(LEN(N279)&gt;0,LEN(O279)&gt;0,LEN(P279)&gt;0,OR(Q279="yes",Q279="no"))),"ready","pending")</x:f>
        <x:v>ready</x:v>
      </x:c>
    </x:row>
    <x:row r="280" ht="44" customHeight="1">
      <x:c r="A280" s="10" t="str">
        <x:v>FMS1055__capability</x:v>
      </x:c>
      <x:c r="B280" s="11" t="str">
        <x:v>FMS1055</x:v>
      </x:c>
      <x:c r="C280" s="11" t="str">
        <x:v>final_multisource_132</x:v>
      </x:c>
      <x:c r="D280" s="11" t="str">
        <x:v>One Signature, Multiple Payments: Demystifying and Detecting Signature Replay Vulnerabilities in Smart Contracts</x:v>
      </x:c>
      <x:c r="E280" s="11" t="str">
        <x:v>cross-stage capability</x:v>
      </x:c>
      <x:c r="F280" s="11" t="str">
        <x:v>multi-label</x:v>
      </x:c>
      <x:c r="G280" s="11" t="str">
        <x:v>context aggregation / rule extraction;feedback interpretation / loop adjustment</x:v>
      </x:c>
      <x:c r="H280" s="11" t="str">
        <x:v>context aggregation / rule extraction;tool routing / strategy routing;validation organization / evidence packaging</x:v>
      </x:c>
      <x:c r="I280" s="11" t="str">
        <x:v>source-linked lead</x:v>
      </x:c>
      <x:c r="J280" s="11" t="str">
        <x:v>https://arxiv.org/pdf/2511.09134 | role p.1; action p.1; feedback p.5; validation p.1; evaluation p.1</x:v>
      </x:c>
      <x:c r="K280" s="11" t="str">
        <x:v>to EIP -712 is a critical credential for distinguishing between projects deployed 3 SignedData memory payload = SignedData ({ with the same code. Without contract address checks during the 4 transactionId : transactionId ,... }) ; signature verification, the same signature can be reused by different 5 return ECDSA . recover ( ECDSA . toEthSignedMessageHash ( projects. For instance, an attacker could</x:v>
      </x:c>
      <x:c r="L280" s="16" t="str">
        <x:v>A source-linked excerpt and locator are supplied as review leads for auditability.</x:v>
      </x:c>
      <x:c r="M280" s="16" t="str">
        <x:v>Require an explicit cross-stage connection. Information must guide later action; feedback must alter later action; packaging must assemble prior outputs; governance must enforce an actual gate.</x:v>
      </x:c>
      <x:c r="N280" s="16" t="str">
        <x:v>context aggregation / rule extraction;feedback interpretation / loop adjustment</x:v>
      </x:c>
      <x:c r="O280" s="16" t="str">
        <x:v>The cited source supports the selected label context aggregation / rule extraction;feedback interpretation / loop adjustment; each retained label requires an explicit connection that guides later action, feedback, packaging, or a gate.</x:v>
      </x:c>
      <x:c r="P280" s="16" t="str">
        <x:v>https://arxiv.org/pdf/2511.09134 | role p.1; action p.1; feedback p.5; validation p.1; evaluation p.1</x:v>
      </x:c>
      <x:c r="Q280" s="16" t="str">
        <x:v>no</x:v>
      </x:c>
      <x:c r="R280" s="11" t="str"/>
      <x:c r="S280" s="11" t="str">
        <x:v>2026-08-12</x:v>
      </x:c>
      <x:c r="T280" s="18" t="str">
        <x:f>IF(OR(AND(N280="unresolved",LEN(O280)&gt;0,LEN(P280)&gt;0,Q280="yes"),AND(LEN(N280)&gt;0,LEN(O280)&gt;0,LEN(P280)&gt;0,OR(Q280="yes",Q280="no"))),"ready","pending")</x:f>
        <x:v>ready</x:v>
      </x:c>
    </x:row>
    <x:row r="281" ht="44" customHeight="1">
      <x:c r="A281" s="10" t="str">
        <x:v>FMS1055__principal_evidence</x:v>
      </x:c>
      <x:c r="B281" s="11" t="str">
        <x:v>FMS1055</x:v>
      </x:c>
      <x:c r="C281" s="11" t="str">
        <x:v>final_multisource_132</x:v>
      </x:c>
      <x:c r="D281" s="11" t="str">
        <x:v>One Signature, Multiple Payments: Demystifying and Detecting Signature Replay Vulnerabilities in Smart Contracts</x:v>
      </x:c>
      <x:c r="E281" s="11" t="str">
        <x:v>principal reported evidence output</x:v>
      </x:c>
      <x:c r="F281" s="11" t="str">
        <x:v>single-label</x:v>
      </x:c>
      <x:c r="G281" s="11" t="str">
        <x:v>candidate judgment</x:v>
      </x:c>
      <x:c r="H281" s="11" t="str">
        <x:v>reproducible validation</x:v>
      </x:c>
      <x:c r="I281" s="11" t="str">
        <x:v>source-linked lead</x:v>
      </x:c>
      <x:c r="J281" s="11" t="str">
        <x:v>https://arxiv.org/pdf/2511.09134 | role p.1; action p.1; feedback p.5; validation p.1; evaluation p.1</x:v>
      </x:c>
      <x:c r="K281" s="11" t="str">
        <x:v>One Signature, Multiple Payments: Demystifying and Detecting Signature Replay Vulnerabilities in Smart Contracts Zexu Wang Jiachi Chen Zewei Lin Sun Yat-sen University Sun Yat-sen University</x:v>
      </x:c>
      <x:c r="L281" s="16" t="str">
        <x:v>A source-linked excerpt and locator are supplied as review leads for auditability.</x:v>
      </x:c>
      <x:c r="M281" s="16" t="str">
        <x:v>Select the observable result most directly supporting the main finding. Benchmark ground truth or aggregate CVE counts do not automatically establish externally traceable material.</x:v>
      </x:c>
      <x:c r="N281" s="16" t="str">
        <x:v>candidate judgment</x:v>
      </x:c>
      <x:c r="O281" s="16" t="str">
        <x:v>The cited source supports the selected label candidate judgment as the main observable result reported for the study.</x:v>
      </x:c>
      <x:c r="P281" s="16" t="str">
        <x:v>https://arxiv.org/pdf/2511.09134 | role p.1; action p.1; feedback p.5; validation p.1; evaluation p.1</x:v>
      </x:c>
      <x:c r="Q281" s="16" t="str">
        <x:v>no</x:v>
      </x:c>
      <x:c r="R281" s="11" t="str"/>
      <x:c r="S281" s="11" t="str">
        <x:v>2026-08-12</x:v>
      </x:c>
      <x:c r="T281" s="18" t="str">
        <x:f>IF(OR(AND(N281="unresolved",LEN(O281)&gt;0,LEN(P281)&gt;0,Q281="yes"),AND(LEN(N281)&gt;0,LEN(O281)&gt;0,LEN(P281)&gt;0,OR(Q281="yes",Q281="no"))),"ready","pending")</x:f>
        <x:v>ready</x:v>
      </x:c>
    </x:row>
    <x:row r="282" ht="44" customHeight="1">
      <x:c r="A282" s="10" t="str">
        <x:v>FMS1063__lifecycle</x:v>
      </x:c>
      <x:c r="B282" s="11" t="str">
        <x:v>FMS1063</x:v>
      </x:c>
      <x:c r="C282" s="11" t="str">
        <x:v>final_multisource_132</x:v>
      </x:c>
      <x:c r="D282" s="11" t="str">
        <x:v>Orion: Fuzzing Workflow Automation</x:v>
      </x:c>
      <x:c r="E282" s="11" t="str">
        <x:v>lifecycle coverage</x:v>
      </x:c>
      <x:c r="F282" s="11" t="str">
        <x:v>multi-label</x:v>
      </x:c>
      <x:c r="G282" s="11" t="str">
        <x:v>candidate analysis;execution observation;patch validation;path and input exploration;reporting and audit;reproduction and validation</x:v>
      </x:c>
      <x:c r="H282" s="11" t="str">
        <x:v>candidate analysis;execution observation;path and input exploration;reporting and audit;reproduction and validation</x:v>
      </x:c>
      <x:c r="I282" s="11" t="str">
        <x:v>source-linked lead</x:v>
      </x:c>
      <x:c r="J282" s="11" t="str">
        <x:v>https://arxiv.org/pdf/2509.15195 | role p.1; action p.1; feedback p.1; validation p.1; evaluation p.2</x:v>
      </x:c>
      <x:c r="K282" s="11" t="str">
        <x:v>manual effort creates a major bottleneck bottlenecks of fuzzing by integrating LLM reasoning with tradi- for scaling fuzzing to large production codebases, representing the</x:v>
      </x:c>
      <x:c r="L282" s="16" t="str">
        <x:v>A source-linked excerpt and locator are supplied as review leads for auditability.</x:v>
      </x:c>
      <x:c r="M282" s="16" t="str">
        <x:v>Mark only observable lifecycle actions or outputs. Reporting and audit requires explicit packaging, routing, disclosure, or audit transition; a report name alone is insufficient.</x:v>
      </x:c>
      <x:c r="N282" s="16" t="str">
        <x:v>candidate analysis;path and input exploration;execution observation;reproduction and validation;patch validation;reporting and audit</x:v>
      </x:c>
      <x:c r="O282" s="16" t="str">
        <x:v>The cited source supports the selected label candidate analysis;path and input exploration;execution observation;reproduction and validation;patch validation;reporting and audit; only observable workflow actions or outputs were retained.</x:v>
      </x:c>
      <x:c r="P282" s="16" t="str">
        <x:v>https://arxiv.org/pdf/2509.15195 | role p.1; action p.1; feedback p.1; validation p.1; evaluation p.2</x:v>
      </x:c>
      <x:c r="Q282" s="16" t="str">
        <x:v>no</x:v>
      </x:c>
      <x:c r="R282" s="11" t="str"/>
      <x:c r="S282" s="11" t="str">
        <x:v>2026-08-12</x:v>
      </x:c>
      <x:c r="T282" s="18" t="str">
        <x:f>IF(OR(AND(N282="unresolved",LEN(O282)&gt;0,LEN(P282)&gt;0,Q282="yes"),AND(LEN(N282)&gt;0,LEN(O282)&gt;0,LEN(P282)&gt;0,OR(Q282="yes",Q282="no"))),"ready","pending")</x:f>
        <x:v>ready</x:v>
      </x:c>
    </x:row>
    <x:row r="283" ht="44" customHeight="1">
      <x:c r="A283" s="10" t="str">
        <x:v>FMS1063__capability</x:v>
      </x:c>
      <x:c r="B283" s="11" t="str">
        <x:v>FMS1063</x:v>
      </x:c>
      <x:c r="C283" s="11" t="str">
        <x:v>final_multisource_132</x:v>
      </x:c>
      <x:c r="D283" s="11" t="str">
        <x:v>Orion: Fuzzing Workflow Automation</x:v>
      </x:c>
      <x:c r="E283" s="11" t="str">
        <x:v>cross-stage capability</x:v>
      </x:c>
      <x:c r="F283" s="11" t="str">
        <x:v>multi-label</x:v>
      </x:c>
      <x:c r="G283" s="11" t="str">
        <x:v>context aggregation / rule extraction;failure reuse / strategy update;feedback interpretation / loop adjustment;long-horizon state management;tool routing / strategy routing;validation organization / evidence packaging</x:v>
      </x:c>
      <x:c r="H283" s="11" t="str">
        <x:v>context aggregation / rule extraction;failure reuse / strategy update;feedback interpretation / loop adjustment;tool routing / strategy routing;validation organization / evidence packaging</x:v>
      </x:c>
      <x:c r="I283" s="11" t="str">
        <x:v>source-linked lead</x:v>
      </x:c>
      <x:c r="J283" s="11" t="str">
        <x:v>https://arxiv.org/pdf/2509.15195 | role p.1; action p.1; feedback p.1; validation p.1; evaluation p.2</x:v>
      </x:c>
      <x:c r="K283" s="11" t="str">
        <x:v>utomatically, the overall workflow, from ana- Post-execution, the analyst must analyze results: triaging crash- lyzing a codebase, to configuring harnesses, to triaging results, still ing inputs, interpreting stack traces, and identifying root causes. Fi- arXiv:2509.15195v1 [cs.SE] 18 Sep 2025 requires substantial manual effort. Prior attempts focused on single nally</x:v>
      </x:c>
      <x:c r="L283" s="16" t="str">
        <x:v>A source-linked excerpt and locator are supplied as review leads for auditability.</x:v>
      </x:c>
      <x:c r="M283" s="16" t="str">
        <x:v>Require an explicit cross-stage connection. Information must guide later action; feedback must alter later action; packaging must assemble prior outputs; governance must enforce an actual gate.</x:v>
      </x:c>
      <x:c r="N283" s="16" t="str">
        <x:v>context aggregation / rule extraction;tool routing / strategy routing;feedback interpretation / loop adjustment;validation organization / evidence packaging;long-horizon state management;failure reuse / strategy update</x:v>
      </x:c>
      <x:c r="O283"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283" s="16" t="str">
        <x:v>https://arxiv.org/pdf/2509.15195 | role p.1; action p.1; feedback p.1; validation p.1; evaluation p.2</x:v>
      </x:c>
      <x:c r="Q283" s="16" t="str">
        <x:v>no</x:v>
      </x:c>
      <x:c r="R283" s="11" t="str"/>
      <x:c r="S283" s="11" t="str">
        <x:v>2026-08-12</x:v>
      </x:c>
      <x:c r="T283" s="18" t="str">
        <x:f>IF(OR(AND(N283="unresolved",LEN(O283)&gt;0,LEN(P283)&gt;0,Q283="yes"),AND(LEN(N283)&gt;0,LEN(O283)&gt;0,LEN(P283)&gt;0,OR(Q283="yes",Q283="no"))),"ready","pending")</x:f>
        <x:v>ready</x:v>
      </x:c>
    </x:row>
    <x:row r="284" ht="44" customHeight="1">
      <x:c r="A284" s="10" t="str">
        <x:v>FMS1063__primary_shape</x:v>
      </x:c>
      <x:c r="B284" s="11" t="str">
        <x:v>FMS1063</x:v>
      </x:c>
      <x:c r="C284" s="11" t="str">
        <x:v>final_multisource_132</x:v>
      </x:c>
      <x:c r="D284" s="11" t="str">
        <x:v>Orion: Fuzzing Workflow Automation</x:v>
      </x:c>
      <x:c r="E284" s="11" t="str">
        <x:v>primary system shape</x:v>
      </x:c>
      <x:c r="F284" s="11" t="str">
        <x:v>single-label</x:v>
      </x:c>
      <x:c r="G284" s="11" t="str">
        <x:v>long-horizon pentest and CRS agent</x:v>
      </x:c>
      <x:c r="H284" s="11" t="str">
        <x:v>feedback-driven fuzzing agent</x:v>
      </x:c>
      <x:c r="I284" s="11" t="str">
        <x:v>source-linked lead</x:v>
      </x:c>
      <x:c r="J284" s="11" t="str">
        <x:v>https://arxiv.org/pdf/2509.15195 | role p.1; action p.1; feedback p.1; validation p.1; evaluation p.2</x:v>
      </x:c>
      <x:c r="K284" s="11" t="str">
        <x:v>uzz testing is one of the most effective techniques for finding soft- trate valid input structures and allow the fuzzer to exercise deeper ware vulnerabilities. While modern fuzzers can generate inputs and execution paths. monitor executions automatically, the overall workflow, from ana- Post-execution, the analyst must analyze results: triaging cra</x:v>
      </x:c>
      <x:c r="L284" s="16" t="str">
        <x:v>A source-linked excerpt and locator are supplied as review leads for auditability.</x:v>
      </x:c>
      <x:c r="M284" s="16" t="str">
        <x:v>Choose the dominant locus and objective of agent control in the main evaluated contribution. Use the evaluation task and primary metrics to resolve ties; do not infer from agent count or system name.</x:v>
      </x:c>
      <x:c r="N284" s="16" t="str">
        <x:v>long-horizon pentest and CRS agent</x:v>
      </x:c>
      <x:c r="O284" s="16" t="str">
        <x:v>The cited source supports the selected label long-horizon pentest and CRS agent as the dominant evaluated locus and objective of agent control.</x:v>
      </x:c>
      <x:c r="P284" s="16" t="str">
        <x:v>https://arxiv.org/pdf/2509.15195 | role p.1; action p.1; feedback p.1; validation p.1; evaluation p.2</x:v>
      </x:c>
      <x:c r="Q284" s="16" t="str">
        <x:v>no</x:v>
      </x:c>
      <x:c r="R284" s="11" t="str"/>
      <x:c r="S284" s="11" t="str">
        <x:v>2026-08-12</x:v>
      </x:c>
      <x:c r="T284" s="18" t="str">
        <x:f>IF(OR(AND(N284="unresolved",LEN(O284)&gt;0,LEN(P284)&gt;0,Q284="yes"),AND(LEN(N284)&gt;0,LEN(O284)&gt;0,LEN(P284)&gt;0,OR(Q284="yes",Q284="no"))),"ready","pending")</x:f>
        <x:v>ready</x:v>
      </x:c>
    </x:row>
    <x:row r="285" ht="44" customHeight="1">
      <x:c r="A285" s="10" t="str">
        <x:v>FMS1063__external_traceability</x:v>
      </x:c>
      <x:c r="B285" s="11" t="str">
        <x:v>FMS1063</x:v>
      </x:c>
      <x:c r="C285" s="11" t="str">
        <x:v>final_multisource_132</x:v>
      </x:c>
      <x:c r="D285" s="11" t="str">
        <x:v>Orion: Fuzzing Workflow Automation</x:v>
      </x:c>
      <x:c r="E285" s="11" t="str">
        <x:v>external traceability</x:v>
      </x:c>
      <x:c r="F285" s="11" t="str">
        <x:v>single-label</x:v>
      </x:c>
      <x:c r="G285" s="11" t="str">
        <x:v>author-reported external clue</x:v>
      </x:c>
      <x:c r="H285" s="11" t="str">
        <x:v>no external trace reported</x:v>
      </x:c>
      <x:c r="I285" s="11" t="str">
        <x:v>source-linked lead</x:v>
      </x:c>
      <x:c r="J285" s="11" t="str">
        <x:v>https://arxiv.org/pdf/2509.15195 | role p.1; action p.1; feedback p.1; validation p.1; evaluation p.2</x:v>
      </x:c>
      <x:c r="K285" s="11" t="str">
        <x:v>ng fuzzers to operate at previously made it impractical. maximum speed. We evaluate Orion using a custom benchmark across two open- Seed corpora further improve fuzzing effectiveness. While fuzzers source and one proprietary library. Across these targets, Orion can start with an empty corpus, providing example inputs acceler- reduces required human effort by 46–204× depending on the work- ates progress by illustratin</x:v>
      </x:c>
      <x:c r="L285" s="16" t="str">
        <x:v>A source-linked excerpt and locator are supplied as review leads for auditability.</x:v>
      </x:c>
      <x:c r="M285" s="16" t="str">
        <x:v>Code separately from principal output. Only item-level alignment between a concrete system result and a specific public external record qualifies as publicly aligned external trace.</x:v>
      </x:c>
      <x:c r="N285" s="16" t="str">
        <x:v>author-reported external clue</x:v>
      </x:c>
      <x:c r="O285" s="16" t="str">
        <x:v>The cited source supports the selected label author-reported external clue under the codebook's item-level public-record alignment criterion.</x:v>
      </x:c>
      <x:c r="P285" s="16" t="str">
        <x:v>https://arxiv.org/pdf/2509.15195 | role p.1; action p.1; feedback p.1; validation p.1; evaluation p.2</x:v>
      </x:c>
      <x:c r="Q285" s="16" t="str">
        <x:v>no</x:v>
      </x:c>
      <x:c r="R285" s="11" t="str"/>
      <x:c r="S285" s="11" t="str">
        <x:v>2026-08-12</x:v>
      </x:c>
      <x:c r="T285" s="18" t="str">
        <x:f>IF(OR(AND(N285="unresolved",LEN(O285)&gt;0,LEN(P285)&gt;0,Q285="yes"),AND(LEN(N285)&gt;0,LEN(O285)&gt;0,LEN(P285)&gt;0,OR(Q285="yes",Q285="no"))),"ready","pending")</x:f>
        <x:v>ready</x:v>
      </x:c>
    </x:row>
    <x:row r="286" ht="44" customHeight="1">
      <x:c r="A286" s="10" t="str">
        <x:v>FMS1083__lifecycle</x:v>
      </x:c>
      <x:c r="B286" s="11" t="str">
        <x:v>FMS1083</x:v>
      </x:c>
      <x:c r="C286" s="11" t="str">
        <x:v>final_multisource_132</x:v>
      </x:c>
      <x:c r="D286" s="11" t="str">
        <x:v>PenForge: On-the-Fly Expert Agent Construction for Automated Penetration Testing</x:v>
      </x:c>
      <x:c r="E286" s="11" t="str">
        <x:v>lifecycle coverage</x:v>
      </x:c>
      <x:c r="F286" s="11" t="str">
        <x:v>multi-label</x:v>
      </x:c>
      <x:c r="G286" s="11" t="str">
        <x:v>candidate analysis;execution observation;path and input exploration;reproduction and validation</x:v>
      </x:c>
      <x:c r="H286" s="11" t="str">
        <x:v>candidate analysis;execution observation;path and input exploration;reporting and audit</x:v>
      </x:c>
      <x:c r="I286" s="11" t="str">
        <x:v>source-linked lead</x:v>
      </x:c>
      <x:c r="J286" s="11" t="str">
        <x:v>https://arxiv.org/pdf/2601.06910 | role p.1; action p.1; feedback p.2; validation p.2; evaluation p.2</x:v>
      </x:c>
      <x:c r="K286" s="11" t="str">
        <x:v>high-level orchestrator that analyzes the target ap- Forge: On-the-Fly Expert Agent Construction for Automated Penetration plication, plans exploitation strategies, and dynamically constructs Testing. In 2026 IEEE/ACM</x:v>
      </x:c>
      <x:c r="L286" s="16" t="str">
        <x:v>A source-linked excerpt and locator are supplied as review leads for auditability.</x:v>
      </x:c>
      <x:c r="M286" s="16" t="str">
        <x:v>Mark only observable lifecycle actions or outputs. Reporting and audit requires explicit packaging, routing, disclosure, or audit transition; a report name alone is insufficient.</x:v>
      </x:c>
      <x:c r="N286" s="16" t="str">
        <x:v>candidate analysis;path and input exploration;execution observation;reproduction and validation</x:v>
      </x:c>
      <x:c r="O286" s="16" t="str">
        <x:v>The cited source supports the selected label candidate analysis;path and input exploration;execution observation;reproduction and validation; only observable workflow actions or outputs were retained.</x:v>
      </x:c>
      <x:c r="P286" s="16" t="str">
        <x:v>https://arxiv.org/pdf/2601.06910 | role p.1; action p.1; feedback p.2; validation p.2; evaluation p.2</x:v>
      </x:c>
      <x:c r="Q286" s="16" t="str">
        <x:v>no</x:v>
      </x:c>
      <x:c r="R286" s="11" t="str"/>
      <x:c r="S286" s="11" t="str">
        <x:v>2026-08-12</x:v>
      </x:c>
      <x:c r="T286" s="18" t="str">
        <x:f>IF(OR(AND(N286="unresolved",LEN(O286)&gt;0,LEN(P286)&gt;0,Q286="yes"),AND(LEN(N286)&gt;0,LEN(O286)&gt;0,LEN(P286)&gt;0,OR(Q286="yes",Q286="no"))),"ready","pending")</x:f>
        <x:v>ready</x:v>
      </x:c>
    </x:row>
    <x:row r="287" ht="44" customHeight="1">
      <x:c r="A287" s="10" t="str">
        <x:v>FMS1087__lifecycle</x:v>
      </x:c>
      <x:c r="B287" s="11" t="str">
        <x:v>FMS1087</x:v>
      </x:c>
      <x:c r="C287" s="11" t="str">
        <x:v>final_multisource_132</x:v>
      </x:c>
      <x:c r="D287" s="11" t="str">
        <x:v>PentestEval: Benchmarking LLM-based Penetration Testing with Modular and Stage-Level Design</x:v>
      </x:c>
      <x:c r="E287" s="11" t="str">
        <x:v>lifecycle coverage</x:v>
      </x:c>
      <x:c r="F287" s="11" t="str">
        <x:v>multi-label</x:v>
      </x:c>
      <x:c r="G287" s="11" t="str">
        <x:v>candidate analysis;execution observation;path and input exploration;reproduction and validation</x:v>
      </x:c>
      <x:c r="H287" s="11" t="str">
        <x:v>candidate analysis;execution observation;path and input exploration;reporting and audit</x:v>
      </x:c>
      <x:c r="I287" s="11" t="str">
        <x:v>source-linked lead</x:v>
      </x:c>
      <x:c r="J287" s="11" t="str">
        <x:v>https://arxiv.org/pdf/2512.14233 | role p.1; action p.1; feedback p.3; validation p.2; evaluation p.1</x:v>
      </x:c>
      <x:c r="K287" s="11" t="str">
        <x:v>ntermediate supervision hinders fine- Index Terms—Penetration Testing, Large Language Models, grained analysis of model behavior and constrains progress Security Automation, Benchmark Ev</x:v>
      </x:c>
      <x:c r="L287" s="16" t="str">
        <x:v>A source-linked excerpt and locator are supplied as review leads for auditability.</x:v>
      </x:c>
      <x:c r="M287" s="16" t="str">
        <x:v>Mark only observable lifecycle actions or outputs. Reporting and audit requires explicit packaging, routing, disclosure, or audit transition; a report name alone is insufficient.</x:v>
      </x:c>
      <x:c r="N287" s="16" t="str">
        <x:v>candidate analysis;path and input exploration;execution observation;reproduction and validation</x:v>
      </x:c>
      <x:c r="O287" s="16" t="str">
        <x:v>The cited source supports the selected label candidate analysis;path and input exploration;execution observation;reproduction and validation; only observable workflow actions or outputs were retained.</x:v>
      </x:c>
      <x:c r="P287" s="16" t="str">
        <x:v>https://arxiv.org/pdf/2512.14233 | role p.1; action p.1; feedback p.3; validation p.2; evaluation p.1</x:v>
      </x:c>
      <x:c r="Q287" s="16" t="str">
        <x:v>no</x:v>
      </x:c>
      <x:c r="R287" s="11" t="str"/>
      <x:c r="S287" s="11" t="str">
        <x:v>2026-08-12</x:v>
      </x:c>
      <x:c r="T287" s="18" t="str">
        <x:f>IF(OR(AND(N287="unresolved",LEN(O287)&gt;0,LEN(P287)&gt;0,Q287="yes"),AND(LEN(N287)&gt;0,LEN(O287)&gt;0,LEN(P287)&gt;0,OR(Q287="yes",Q287="no"))),"ready","pending")</x:f>
        <x:v>ready</x:v>
      </x:c>
    </x:row>
    <x:row r="288" ht="44" customHeight="1">
      <x:c r="A288" s="10" t="str">
        <x:v>FMS1087__capability</x:v>
      </x:c>
      <x:c r="B288" s="11" t="str">
        <x:v>FMS1087</x:v>
      </x:c>
      <x:c r="C288" s="11" t="str">
        <x:v>final_multisource_132</x:v>
      </x:c>
      <x:c r="D288" s="11" t="str">
        <x:v>PentestEval: Benchmarking LLM-based Penetration Testing with Modular and Stage-Level Design</x:v>
      </x:c>
      <x:c r="E288" s="11" t="str">
        <x:v>cross-stage capability</x:v>
      </x:c>
      <x:c r="F288" s="11" t="str">
        <x:v>multi-label</x:v>
      </x:c>
      <x:c r="G288" s="11" t="str">
        <x:v>context aggregation / rule extraction;feedback interpretation / loop adjustment;long-horizon state management;tool routing / strategy routing</x:v>
      </x:c>
      <x:c r="H288" s="11" t="str">
        <x:v>context aggregation / rule extraction;feedback interpretation / loop adjustment;long-horizon state management;tool routing / strategy routing;validation organization / evidence packaging</x:v>
      </x:c>
      <x:c r="I288" s="11" t="str">
        <x:v>source-linked lead</x:v>
      </x:c>
      <x:c r="J288" s="11" t="str">
        <x:v>https://arxiv.org/pdf/2512.14233 | role p.1; action p.1; feedback p.3; validation p.2; evaluation p.1</x:v>
      </x:c>
      <x:c r="K288" s="11" t="str">
        <x:v>ness of the attack, increasing the likelihood of successfully Approach Automation Level Coverage Scope Evaluation Focus leveraging the targeted weakness. PentestGPT [7] Human-in-loop End-to-end Final outcome The iterative attack continues until a terminal state is AutoAttacker [8] Semi-auto Post-breach only Final outcome reached, defined by successful compromise (e.g., remote ac- Pe</x:v>
      </x:c>
      <x:c r="L288" s="16" t="str">
        <x:v>A source-linked excerpt and locator are supplied as review leads for auditability.</x:v>
      </x:c>
      <x:c r="M288" s="16" t="str">
        <x:v>Require an explicit cross-stage connection. Information must guide later action; feedback must alter later action; packaging must assemble prior outputs; governance must enforce an actual gate.</x:v>
      </x:c>
      <x:c r="N288" s="16" t="str">
        <x:v>context aggregation / rule extraction;tool routing / strategy routing;feedback interpretation / loop adjustment;long-horizon state management</x:v>
      </x:c>
      <x:c r="O288"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288" s="16" t="str">
        <x:v>https://arxiv.org/pdf/2512.14233 | role p.1; action p.1; feedback p.3; validation p.2; evaluation p.1</x:v>
      </x:c>
      <x:c r="Q288" s="16" t="str">
        <x:v>no</x:v>
      </x:c>
      <x:c r="R288" s="11" t="str"/>
      <x:c r="S288" s="11" t="str">
        <x:v>2026-08-12</x:v>
      </x:c>
      <x:c r="T288" s="18" t="str">
        <x:f>IF(OR(AND(N288="unresolved",LEN(O288)&gt;0,LEN(P288)&gt;0,Q288="yes"),AND(LEN(N288)&gt;0,LEN(O288)&gt;0,LEN(P288)&gt;0,OR(Q288="yes",Q288="no"))),"ready","pending")</x:f>
        <x:v>ready</x:v>
      </x:c>
    </x:row>
    <x:row r="289" ht="44" customHeight="1">
      <x:c r="A289" s="10" t="str">
        <x:v>FMS1088__lifecycle</x:v>
      </x:c>
      <x:c r="B289" s="11" t="str">
        <x:v>FMS1088</x:v>
      </x:c>
      <x:c r="C289" s="11" t="str">
        <x:v>final_multisource_132</x:v>
      </x:c>
      <x:c r="D289" s="11" t="str">
        <x:v>PentestMCP: LLM and MCP Based Multi-Agent Framework for Automated Penetration Testing</x:v>
      </x:c>
      <x:c r="E289" s="11" t="str">
        <x:v>lifecycle coverage</x:v>
      </x:c>
      <x:c r="F289" s="11" t="str">
        <x:v>multi-label</x:v>
      </x:c>
      <x:c r="G289" s="11" t="str">
        <x:v>candidate analysis;execution observation;path and input exploration;reproduction and validation</x:v>
      </x:c>
      <x:c r="H289" s="11" t="str">
        <x:v>candidate analysis;execution observation;path and input exploration;reporting and audit</x:v>
      </x:c>
      <x:c r="I289" s="11" t="str">
        <x:v>source-linked lead</x:v>
      </x:c>
      <x:c r="J289" s="11" t="str">
        <x:v>https://assets-eu.researchsquare.com/files/rs-7582841/v1_covered_6b896846-7fe1-4369-88c9-9aba18c15e3f.pdf | role p.1; action p.2; feedback p.3; validation p.2; evaluation p.2</x:v>
      </x:c>
      <x:c r="K289" s="11" t="str">
        <x:v>ology Hailu Yang Harbin University of Science and Technology Research Article Keywords: Penetration testing, Large language model (LLM), Model context protocol (MCP), Retrieval- augmented generation (RAG), Multi-agent systems, Cybersecurity Posted Date: November 4th, 2025 DOI: https://doi.org/10.21203/rs.3.rs-75</x:v>
      </x:c>
      <x:c r="L289" s="16" t="str">
        <x:v>A source-linked excerpt and locator are supplied as review leads for auditability.</x:v>
      </x:c>
      <x:c r="M289" s="16" t="str">
        <x:v>Mark only observable lifecycle actions or outputs. Reporting and audit requires explicit packaging, routing, disclosure, or audit transition; a report name alone is insufficient.</x:v>
      </x:c>
      <x:c r="N289" s="16" t="str">
        <x:v>candidate analysis;path and input exploration;execution observation;reproduction and validation</x:v>
      </x:c>
      <x:c r="O289" s="16" t="str">
        <x:v>The cited source supports the selected label candidate analysis;path and input exploration;execution observation;reproduction and validation; only observable workflow actions or outputs were retained.</x:v>
      </x:c>
      <x:c r="P289" s="16" t="str">
        <x:v>https://assets-eu.researchsquare.com/files/rs-7582841/v1_covered_6b896846-7fe1-4369-88c9-9aba18c15e3f.pdf | role p.1; action p.2; feedback p.3; validation p.2; evaluation p.2</x:v>
      </x:c>
      <x:c r="Q289" s="16" t="str">
        <x:v>no</x:v>
      </x:c>
      <x:c r="R289" s="11" t="str"/>
      <x:c r="S289" s="11" t="str">
        <x:v>2026-08-12</x:v>
      </x:c>
      <x:c r="T289" s="18" t="str">
        <x:f>IF(OR(AND(N289="unresolved",LEN(O289)&gt;0,LEN(P289)&gt;0,Q289="yes"),AND(LEN(N289)&gt;0,LEN(O289)&gt;0,LEN(P289)&gt;0,OR(Q289="yes",Q289="no"))),"ready","pending")</x:f>
        <x:v>ready</x:v>
      </x:c>
    </x:row>
    <x:row r="290" ht="44" customHeight="1">
      <x:c r="A290" s="10" t="str">
        <x:v>FMS1088__capability</x:v>
      </x:c>
      <x:c r="B290" s="11" t="str">
        <x:v>FMS1088</x:v>
      </x:c>
      <x:c r="C290" s="11" t="str">
        <x:v>final_multisource_132</x:v>
      </x:c>
      <x:c r="D290" s="11" t="str">
        <x:v>PentestMCP: LLM and MCP Based Multi-Agent Framework for Automated Penetration Testing</x:v>
      </x:c>
      <x:c r="E290" s="11" t="str">
        <x:v>cross-stage capability</x:v>
      </x:c>
      <x:c r="F290" s="11" t="str">
        <x:v>multi-label</x:v>
      </x:c>
      <x:c r="G290" s="11" t="str">
        <x:v>context aggregation / rule extraction;failure reuse / strategy update;feedback interpretation / loop adjustment;long-horizon state management;tool routing / strategy routing;validation organization / evidence packaging</x:v>
      </x:c>
      <x:c r="H290" s="11" t="str">
        <x:v>context aggregation / rule extraction;feedback interpretation / loop adjustment;governance / human gates / disclosure control;long-horizon state management;tool routing / strategy routing;validation organization / evidence packaging</x:v>
      </x:c>
      <x:c r="I290" s="11" t="str">
        <x:v>source-linked lead</x:v>
      </x:c>
      <x:c r="J290" s="11" t="str">
        <x:v>https://assets-eu.researchsquare.com/files/rs-7582841/v1_covered_6b896846-7fe1-4369-88c9-9aba18c15e3f.pdf | role p.1; action p.2; feedback p.3; validation p.2; evaluation p.2</x:v>
      </x:c>
      <x:c r="K290" s="11" t="str">
        <x:v>1 process, penetration testing can identify miscon- • Full penetration workflow coverage: The system figurations, logical flaws, or known exploitable encompasses the Information gathering, Vul- vulnerabilities without causing actual damage, nerability discovery, and exploitation phases. thus providing a solid basis for system hardening Each phase is handled by an independent agent [1].</x:v>
      </x:c>
      <x:c r="L290" s="16" t="str">
        <x:v>A source-linked excerpt and locator are supplied as review leads for auditability.</x:v>
      </x:c>
      <x:c r="M290" s="16" t="str">
        <x:v>Require an explicit cross-stage connection. Information must guide later action; feedback must alter later action; packaging must assemble prior outputs; governance must enforce an actual gate.</x:v>
      </x:c>
      <x:c r="N290" s="16" t="str">
        <x:v>context aggregation / rule extraction;tool routing / strategy routing;feedback interpretation / loop adjustment;validation organization / evidence packaging;long-horizon state management;failure reuse / strategy update</x:v>
      </x:c>
      <x:c r="O290"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290" s="16" t="str">
        <x:v>https://assets-eu.researchsquare.com/files/rs-7582841/v1_covered_6b896846-7fe1-4369-88c9-9aba18c15e3f.pdf | role p.1; action p.2; feedback p.3; validation p.2; evaluation p.2</x:v>
      </x:c>
      <x:c r="Q290" s="16" t="str">
        <x:v>no</x:v>
      </x:c>
      <x:c r="R290" s="11" t="str"/>
      <x:c r="S290" s="11" t="str">
        <x:v>2026-08-12</x:v>
      </x:c>
      <x:c r="T290" s="18" t="str">
        <x:f>IF(OR(AND(N290="unresolved",LEN(O290)&gt;0,LEN(P290)&gt;0,Q290="yes"),AND(LEN(N290)&gt;0,LEN(O290)&gt;0,LEN(P290)&gt;0,OR(Q290="yes",Q290="no"))),"ready","pending")</x:f>
        <x:v>ready</x:v>
      </x:c>
    </x:row>
    <x:row r="291" ht="44" customHeight="1">
      <x:c r="A291" s="10" t="str">
        <x:v>FMS1093__lifecycle</x:v>
      </x:c>
      <x:c r="B291" s="11" t="str">
        <x:v>FMS1093</x:v>
      </x:c>
      <x:c r="C291" s="11" t="str">
        <x:v>final_multisource_132</x:v>
      </x:c>
      <x:c r="D291" s="11" t="str">
        <x:v>PILOT: Command-Line Interface Fuzzing Via Path-Guided, Iterative Large Language Model Prompting</x:v>
      </x:c>
      <x:c r="E291" s="11" t="str">
        <x:v>lifecycle coverage</x:v>
      </x:c>
      <x:c r="F291" s="11" t="str">
        <x:v>multi-label</x:v>
      </x:c>
      <x:c r="G291" s="11" t="str">
        <x:v>execution observation;path and input exploration;reporting and audit;reproduction and validation</x:v>
      </x:c>
      <x:c r="H291" s="11" t="str">
        <x:v>execution observation;path and input exploration</x:v>
      </x:c>
      <x:c r="I291" s="11" t="str">
        <x:v>source-linked lead</x:v>
      </x:c>
      <x:c r="J291" s="11" t="str">
        <x:v>https://arxiv.org/pdf/2511.20555 | role p.1; action p.1; feedback p.1; validation p.2; evaluation p.1</x:v>
      </x:c>
      <x:c r="K291" s="11" t="str">
        <x:v>contents, thus enabling discovery of vulnerabilities that only parses the man pages of CLI options using LLM to generate manifest under specific option-input combinations. Prior works CLI optio</x:v>
      </x:c>
      <x:c r="L291" s="16" t="str">
        <x:v>A source-linked excerpt and locator are supplied as review leads for auditability.</x:v>
      </x:c>
      <x:c r="M291" s="16" t="str">
        <x:v>Mark only observable lifecycle actions or outputs. Reporting and audit requires explicit packaging, routing, disclosure, or audit transition; a report name alone is insufficient.</x:v>
      </x:c>
      <x:c r="N291" s="16" t="str">
        <x:v>path and input exploration;execution observation;reproduction and validation;reporting and audit</x:v>
      </x:c>
      <x:c r="O291" s="16" t="str">
        <x:v>The cited source supports the selected label path and input exploration;execution observation;reproduction and validation;reporting and audit; only observable workflow actions or outputs were retained.</x:v>
      </x:c>
      <x:c r="P291" s="16" t="str">
        <x:v>https://arxiv.org/pdf/2511.20555 | role p.1; action p.1; feedback p.1; validation p.2; evaluation p.1</x:v>
      </x:c>
      <x:c r="Q291" s="16" t="str">
        <x:v>no</x:v>
      </x:c>
      <x:c r="R291" s="11" t="str"/>
      <x:c r="S291" s="11" t="str">
        <x:v>2026-08-12</x:v>
      </x:c>
      <x:c r="T291" s="18" t="str">
        <x:f>IF(OR(AND(N291="unresolved",LEN(O291)&gt;0,LEN(P291)&gt;0,Q291="yes"),AND(LEN(N291)&gt;0,LEN(O291)&gt;0,LEN(P291)&gt;0,OR(Q291="yes",Q291="no"))),"ready","pending")</x:f>
        <x:v>ready</x:v>
      </x:c>
    </x:row>
    <x:row r="292" ht="44" customHeight="1">
      <x:c r="A292" s="10" t="str">
        <x:v>FMS1093__capability</x:v>
      </x:c>
      <x:c r="B292" s="11" t="str">
        <x:v>FMS1093</x:v>
      </x:c>
      <x:c r="C292" s="11" t="str">
        <x:v>final_multisource_132</x:v>
      </x:c>
      <x:c r="D292" s="11" t="str">
        <x:v>PILOT: Command-Line Interface Fuzzing Via Path-Guided, Iterative Large Language Model Prompting</x:v>
      </x:c>
      <x:c r="E292" s="11" t="str">
        <x:v>cross-stage capability</x:v>
      </x:c>
      <x:c r="F292" s="11" t="str">
        <x:v>multi-label</x:v>
      </x:c>
      <x:c r="G292" s="11" t="str">
        <x:v>context aggregation / rule extraction;failure reuse / strategy update;feedback interpretation / loop adjustment;tool routing / strategy routing;validation organization / evidence packaging</x:v>
      </x:c>
      <x:c r="H292" s="11" t="str">
        <x:v>context aggregation / rule extraction;failure reuse / strategy update;feedback interpretation / loop adjustment;tool routing / strategy routing</x:v>
      </x:c>
      <x:c r="I292" s="11" t="str">
        <x:v>source-linked lead</x:v>
      </x:c>
      <x:c r="J292" s="11" t="str">
        <x:v>https://arxiv.org/pdf/2511.20555 | role p.1; action p.1; feedback p.1; validation p.2; evaluation p.1</x:v>
      </x:c>
      <x:c r="K292" s="11" t="str">
        <x:v>en, PILOT mostly provided beforehand as prior knowledge with manual iteratively repeats the process, and provides reached functions efforts in state-of-the-art approaches. This not only brings as additional context so that target functions are reached. additional human efforts, but also leads to challenges in Our evaluation on real-world C</x:v>
      </x:c>
      <x:c r="L292" s="16" t="str">
        <x:v>A source-linked excerpt and locator are supplied as review leads for auditability.</x:v>
      </x:c>
      <x:c r="M292" s="16" t="str">
        <x:v>Require an explicit cross-stage connection. Information must guide later action; feedback must alter later action; packaging must assemble prior outputs; governance must enforce an actual gate.</x:v>
      </x:c>
      <x:c r="N292" s="16" t="str">
        <x:v>context aggregation / rule extraction;tool routing / strategy routing;feedback interpretation / loop adjustment;validation organization / evidence packaging;failure reuse / strategy update</x:v>
      </x:c>
      <x:c r="O292"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292" s="16" t="str">
        <x:v>https://arxiv.org/pdf/2511.20555 | role p.1; action p.1; feedback p.1; validation p.2; evaluation p.1</x:v>
      </x:c>
      <x:c r="Q292" s="16" t="str">
        <x:v>no</x:v>
      </x:c>
      <x:c r="R292" s="11" t="str"/>
      <x:c r="S292" s="11" t="str">
        <x:v>2026-08-12</x:v>
      </x:c>
      <x:c r="T292" s="18" t="str">
        <x:f>IF(OR(AND(N292="unresolved",LEN(O292)&gt;0,LEN(P292)&gt;0,Q292="yes"),AND(LEN(N292)&gt;0,LEN(O292)&gt;0,LEN(P292)&gt;0,OR(Q292="yes",Q292="no"))),"ready","pending")</x:f>
        <x:v>ready</x:v>
      </x:c>
    </x:row>
    <x:row r="293" ht="44" customHeight="1">
      <x:c r="A293" s="10" t="str">
        <x:v>FMS1093__principal_evidence</x:v>
      </x:c>
      <x:c r="B293" s="11" t="str">
        <x:v>FMS1093</x:v>
      </x:c>
      <x:c r="C293" s="11" t="str">
        <x:v>final_multisource_132</x:v>
      </x:c>
      <x:c r="D293" s="11" t="str">
        <x:v>PILOT: Command-Line Interface Fuzzing Via Path-Guided, Iterative Large Language Model Prompting</x:v>
      </x:c>
      <x:c r="E293" s="11" t="str">
        <x:v>principal reported evidence output</x:v>
      </x:c>
      <x:c r="F293" s="11" t="str">
        <x:v>single-label</x:v>
      </x:c>
      <x:c r="G293" s="11" t="str">
        <x:v>externally traceable material</x:v>
      </x:c>
      <x:c r="H293" s="11" t="str">
        <x:v>runtime safety signal</x:v>
      </x:c>
      <x:c r="I293" s="11" t="str">
        <x:v>source-linked lead</x:v>
      </x:c>
      <x:c r="J293" s="11" t="str">
        <x:v>https://arxiv.org/pdf/2511.20555 | role p.1; action p.1; feedback p.1; validation p.2; evaluation p.1</x:v>
      </x:c>
      <x:c r="K293" s="11" t="str">
        <x:v>, r, len, r1 == end); 34 r = r1; not properly validate Network Abstraction Layer (NAL) 35 } unit sizes when processing H.264/HEVC streams for RTP 36 } 37 static void nal_send(AVFormatContext *s1, const uint8_t transmission, leading to a negative size parameter passed to *buf, int size, int last) {</x:v>
      </x:c>
      <x:c r="L293" s="16" t="str">
        <x:v>A source-linked excerpt and locator are supplied as review leads for auditability.</x:v>
      </x:c>
      <x:c r="M293" s="16" t="str">
        <x:v>Select the observable result most directly supporting the main finding. Benchmark ground truth or aggregate CVE counts do not automatically establish externally traceable material.</x:v>
      </x:c>
      <x:c r="N293" s="16" t="str">
        <x:v>externally traceable material</x:v>
      </x:c>
      <x:c r="O293" s="16" t="str">
        <x:v>The cited source supports the selected label externally traceable material as the main observable result reported for the study.</x:v>
      </x:c>
      <x:c r="P293" s="16" t="str">
        <x:v>https://arxiv.org/pdf/2511.20555 | role p.1; action p.1; feedback p.1; validation p.2; evaluation p.1</x:v>
      </x:c>
      <x:c r="Q293" s="16" t="str">
        <x:v>no</x:v>
      </x:c>
      <x:c r="R293" s="11" t="str"/>
      <x:c r="S293" s="11" t="str">
        <x:v>2026-08-12</x:v>
      </x:c>
      <x:c r="T293" s="18" t="str">
        <x:f>IF(OR(AND(N293="unresolved",LEN(O293)&gt;0,LEN(P293)&gt;0,Q293="yes"),AND(LEN(N293)&gt;0,LEN(O293)&gt;0,LEN(P293)&gt;0,OR(Q293="yes",Q293="no"))),"ready","pending")</x:f>
        <x:v>ready</x:v>
      </x:c>
    </x:row>
    <x:row r="294" ht="44" customHeight="1">
      <x:c r="A294" s="10" t="str">
        <x:v>FMS1093__external_traceability</x:v>
      </x:c>
      <x:c r="B294" s="11" t="str">
        <x:v>FMS1093</x:v>
      </x:c>
      <x:c r="C294" s="11" t="str">
        <x:v>final_multisource_132</x:v>
      </x:c>
      <x:c r="D294" s="11" t="str">
        <x:v>PILOT: Command-Line Interface Fuzzing Via Path-Guided, Iterative Large Language Model Prompting</x:v>
      </x:c>
      <x:c r="E294" s="11" t="str">
        <x:v>external traceability</x:v>
      </x:c>
      <x:c r="F294" s="11" t="str">
        <x:v>single-label</x:v>
      </x:c>
      <x:c r="G294" s="11" t="str">
        <x:v>publicly aligned external trace</x:v>
      </x:c>
      <x:c r="H294" s="11" t="str">
        <x:v>author-reported external clue</x:v>
      </x:c>
      <x:c r="I294" s="11" t="str">
        <x:v>source-linked lead</x:v>
      </x:c>
      <x:c r="J294" s="11" t="str">
        <x:v>https://arxiv.org/pdf/2511.20555 | role p.1; action p.1; feedback p.1; validation p.2; evaluation p.1</x:v>
      </x:c>
      <x:c r="K294" s="11" t="str">
        <x:v>hed. additional human efforts, but also leads to challenges in Our evaluation on real-world CLI applications demon- triggering certain parts of CLI tools, which require a specific strates that PILOT achieves higher coverage than state-of- format. the-art fuzzing approaches and discovers 51 zero-day vul- In this paper, we design a novel Pa</x:v>
      </x:c>
      <x:c r="L294" s="16" t="str">
        <x:v>A source-linked excerpt and locator are supplied as review leads for auditability.</x:v>
      </x:c>
      <x:c r="M294" s="16" t="str">
        <x:v>Code separately from principal output. Only item-level alignment between a concrete system result and a specific public external record qualifies as publicly aligned external trace.</x:v>
      </x:c>
      <x:c r="N294" s="16" t="str">
        <x:v>publicly aligned external trace</x:v>
      </x:c>
      <x:c r="O294" s="16" t="str">
        <x:v>The cited source supports the selected label publicly aligned external trace under the codebook's item-level public-record alignment criterion.</x:v>
      </x:c>
      <x:c r="P294" s="16" t="str">
        <x:v>https://arxiv.org/pdf/2511.20555 | role p.1; action p.1; feedback p.1; validation p.2; evaluation p.1</x:v>
      </x:c>
      <x:c r="Q294" s="16" t="str">
        <x:v>no</x:v>
      </x:c>
      <x:c r="R294" s="11" t="str"/>
      <x:c r="S294" s="11" t="str">
        <x:v>2026-08-12</x:v>
      </x:c>
      <x:c r="T294" s="18" t="str">
        <x:f>IF(OR(AND(N294="unresolved",LEN(O294)&gt;0,LEN(P294)&gt;0,Q294="yes"),AND(LEN(N294)&gt;0,LEN(O294)&gt;0,LEN(P294)&gt;0,OR(Q294="yes",Q294="no"))),"ready","pending")</x:f>
        <x:v>ready</x:v>
      </x:c>
    </x:row>
    <x:row r="295" ht="44" customHeight="1">
      <x:c r="A295" s="10" t="str">
        <x:v>FMS1095__lifecycle</x:v>
      </x:c>
      <x:c r="B295" s="11" t="str">
        <x:v>FMS1095</x:v>
      </x:c>
      <x:c r="C295" s="11" t="str">
        <x:v>final_multisource_132</x:v>
      </x:c>
      <x:c r="D295" s="11" t="str">
        <x:v>PoCEvolve: Generating Proof-of-Concept Exploits from Security Patches with Vulnerability-Aware Prompt Evolution</x:v>
      </x:c>
      <x:c r="E295" s="11" t="str">
        <x:v>lifecycle coverage</x:v>
      </x:c>
      <x:c r="F295" s="11" t="str">
        <x:v>multi-label</x:v>
      </x:c>
      <x:c r="G295" s="11" t="str">
        <x:v>candidate analysis;execution observation;reproduction and validation</x:v>
      </x:c>
      <x:c r="H295" s="11" t="str">
        <x:v>candidate analysis;execution observation;patch validation;path and input exploration;reporting and audit;reproduction and validation</x:v>
      </x:c>
      <x:c r="I295" s="11" t="str">
        <x:v>source-linked lead</x:v>
      </x:c>
      <x:c r="J295" s="11" t="str">
        <x:v>https://arxiv.org/pdf/2607.22076 | role p.1; action p.2; feedback p.1; validation p.1; evaluation p.1</x:v>
      </x:c>
      <x:c r="K295" s="11" t="str">
        <x:v>P O CG EN, which combines LLMs with program analysis to Index Terms—Exploit Generation, Prompt Evolution generate exploits from vulnerability reports. P O CG EN out-</x:v>
      </x:c>
      <x:c r="L295" s="16" t="str">
        <x:v>A source-linked excerpt and locator are supplied as review leads for auditability.</x:v>
      </x:c>
      <x:c r="M295" s="16" t="str">
        <x:v>Mark only observable lifecycle actions or outputs. Reporting and audit requires explicit packaging, routing, disclosure, or audit transition; a report name alone is insufficient.</x:v>
      </x:c>
      <x:c r="N295" s="16" t="str">
        <x:v>candidate analysis;execution observation;reproduction and validation</x:v>
      </x:c>
      <x:c r="O295" s="16" t="str">
        <x:v>The cited source supports the selected label candidate analysis;execution observation;reproduction and validation; only observable workflow actions or outputs were retained.</x:v>
      </x:c>
      <x:c r="P295" s="16" t="str">
        <x:v>https://arxiv.org/pdf/2607.22076 | role p.1; action p.2; feedback p.1; validation p.1; evaluation p.1</x:v>
      </x:c>
      <x:c r="Q295" s="16" t="str">
        <x:v>no</x:v>
      </x:c>
      <x:c r="R295" s="11" t="str"/>
      <x:c r="S295" s="11" t="str">
        <x:v>2026-08-12</x:v>
      </x:c>
      <x:c r="T295" s="18" t="str">
        <x:f>IF(OR(AND(N295="unresolved",LEN(O295)&gt;0,LEN(P295)&gt;0,Q295="yes"),AND(LEN(N295)&gt;0,LEN(O295)&gt;0,LEN(P295)&gt;0,OR(Q295="yes",Q295="no"))),"ready","pending")</x:f>
        <x:v>ready</x:v>
      </x:c>
    </x:row>
    <x:row r="296" ht="44" customHeight="1">
      <x:c r="A296" s="10" t="str">
        <x:v>FMS1096__lifecycle</x:v>
      </x:c>
      <x:c r="B296" s="11" t="str">
        <x:v>FMS1096</x:v>
      </x:c>
      <x:c r="C296" s="11" t="str">
        <x:v>final_multisource_132</x:v>
      </x:c>
      <x:c r="D296" s="11" t="str">
        <x:v>PoCGen: Generating Proof-of-Concept Exploits for Vulnerabilities in Npm Packages</x:v>
      </x:c>
      <x:c r="E296" s="11" t="str">
        <x:v>lifecycle coverage</x:v>
      </x:c>
      <x:c r="F296" s="11" t="str">
        <x:v>multi-label</x:v>
      </x:c>
      <x:c r="G296" s="11" t="str">
        <x:v>candidate analysis;execution observation;reporting and audit;reproduction and validation</x:v>
      </x:c>
      <x:c r="H296" s="11" t="str">
        <x:v>candidate analysis;execution observation;path and input exploration;reproduction and validation</x:v>
      </x:c>
      <x:c r="I296" s="11" t="str">
        <x:v>source-linked lead</x:v>
      </x:c>
      <x:c r="J296" s="11" t="str">
        <x:v>https://arxiv.org/pdf/2506.04962 | role p.1; action p.1; feedback p.2; validation p.1; evaluation p.3</x:v>
      </x:c>
      <x:c r="K296" s="11" t="str">
        <x:v>for vulnerabilities in npm packages. The approach combines the complementary strengths of LLMs (e.g., understanding informal vulnerability reports), static analysis (e.g., identifying taint paths), and dynamic analysis (e.g., validating gen</x:v>
      </x:c>
      <x:c r="L296" s="16" t="str">
        <x:v>A source-linked excerpt and locator are supplied as review leads for auditability.</x:v>
      </x:c>
      <x:c r="M296" s="16" t="str">
        <x:v>Mark only observable lifecycle actions or outputs. Reporting and audit requires explicit packaging, routing, disclosure, or audit transition; a report name alone is insufficient.</x:v>
      </x:c>
      <x:c r="N296" s="16" t="str">
        <x:v>candidate analysis;execution observation;reproduction and validation;reporting and audit</x:v>
      </x:c>
      <x:c r="O296" s="16" t="str">
        <x:v>The cited source supports the selected label candidate analysis;execution observation;reproduction and validation;reporting and audit; only observable workflow actions or outputs were retained.</x:v>
      </x:c>
      <x:c r="P296" s="16" t="str">
        <x:v>https://arxiv.org/pdf/2506.04962 | role p.1; action p.1; feedback p.2; validation p.1; evaluation p.3</x:v>
      </x:c>
      <x:c r="Q296" s="16" t="str">
        <x:v>no</x:v>
      </x:c>
      <x:c r="R296" s="11" t="str"/>
      <x:c r="S296" s="11" t="str">
        <x:v>2026-08-12</x:v>
      </x:c>
      <x:c r="T296" s="18" t="str">
        <x:f>IF(OR(AND(N296="unresolved",LEN(O296)&gt;0,LEN(P296)&gt;0,Q296="yes"),AND(LEN(N296)&gt;0,LEN(O296)&gt;0,LEN(P296)&gt;0,OR(Q296="yes",Q296="no"))),"ready","pending")</x:f>
        <x:v>ready</x:v>
      </x:c>
    </x:row>
    <x:row r="297" ht="44" customHeight="1">
      <x:c r="A297" s="10" t="str">
        <x:v>FMS1096__external_traceability</x:v>
      </x:c>
      <x:c r="B297" s="11" t="str">
        <x:v>FMS1096</x:v>
      </x:c>
      <x:c r="C297" s="11" t="str">
        <x:v>final_multisource_132</x:v>
      </x:c>
      <x:c r="D297" s="11" t="str">
        <x:v>PoCGen: Generating Proof-of-Concept Exploits for Vulnerabilities in Npm Packages</x:v>
      </x:c>
      <x:c r="E297" s="11" t="str">
        <x:v>external traceability</x:v>
      </x:c>
      <x:c r="F297" s="11" t="str">
        <x:v>single-label</x:v>
      </x:c>
      <x:c r="G297" s="11" t="str">
        <x:v>publicly aligned external trace</x:v>
      </x:c>
      <x:c r="H297" s="11" t="str">
        <x:v>benchmark ground truth / public material</x:v>
      </x:c>
      <x:c r="I297" s="11" t="str">
        <x:v>source-linked lead</x:v>
      </x:c>
      <x:c r="J297" s="11" t="str">
        <x:v>https://arxiv.org/pdf/2506.04962 | role p.1; action p.1; feedback p.2; validation p.1; evaluation p.3</x:v>
      </x:c>
      <x:c r="K297" s="11" t="str">
        <x:v>ter multiple refinements, PoCGen generates a new exploit that triggers the ReDoS vulnerability, as shown in Fig. 2. We evaluate PoCGen on SecBench.js, a benchmark of vulnerable npm packages with path tra- versal, prototype pollution, command injection, code injection, and ReDoS vulnerabilities. Our results show that PoCGen successfully generates exploits for 395 out of 560 vulnerabilities (71%), outperforming the previous state of the art [30] by 38 absolute percentage points. When measuring the</x:v>
      </x:c>
      <x:c r="L297" s="16" t="str">
        <x:v>A source-linked excerpt and locator are supplied as review leads for auditability.</x:v>
      </x:c>
      <x:c r="M297" s="16" t="str">
        <x:v>Code separately from principal output. Only item-level alignment between a concrete system result and a specific public external record qualifies as publicly aligned external trace.</x:v>
      </x:c>
      <x:c r="N297" s="16" t="str">
        <x:v>publicly aligned external trace</x:v>
      </x:c>
      <x:c r="O297" s="16" t="str">
        <x:v>The cited source supports the selected label publicly aligned external trace under the codebook's item-level public-record alignment criterion.</x:v>
      </x:c>
      <x:c r="P297" s="16" t="str">
        <x:v>https://arxiv.org/pdf/2506.04962 | role p.1; action p.1; feedback p.2; validation p.1; evaluation p.3</x:v>
      </x:c>
      <x:c r="Q297" s="16" t="str">
        <x:v>no</x:v>
      </x:c>
      <x:c r="R297" s="11" t="str"/>
      <x:c r="S297" s="11" t="str">
        <x:v>2026-08-12</x:v>
      </x:c>
      <x:c r="T297" s="18" t="str">
        <x:f>IF(OR(AND(N297="unresolved",LEN(O297)&gt;0,LEN(P297)&gt;0,Q297="yes"),AND(LEN(N297)&gt;0,LEN(O297)&gt;0,LEN(P297)&gt;0,OR(Q297="yes",Q297="no"))),"ready","pending")</x:f>
        <x:v>ready</x:v>
      </x:c>
    </x:row>
    <x:row r="298" ht="44" customHeight="1">
      <x:c r="A298" s="10" t="str">
        <x:v>FMS1098__lifecycle</x:v>
      </x:c>
      <x:c r="B298" s="11" t="str">
        <x:v>FMS1098</x:v>
      </x:c>
      <x:c r="C298" s="11" t="str">
        <x:v>final_multisource_132</x:v>
      </x:c>
      <x:c r="D298" s="11" t="str">
        <x:v>PoCo: Agentic Proof-of-Concept Exploit Generation for Smart Contracts</x:v>
      </x:c>
      <x:c r="E298" s="11" t="str">
        <x:v>lifecycle coverage</x:v>
      </x:c>
      <x:c r="F298" s="11" t="str">
        <x:v>multi-label</x:v>
      </x:c>
      <x:c r="G298" s="11" t="str">
        <x:v>candidate analysis;execution observation;reproduction and validation</x:v>
      </x:c>
      <x:c r="H298" s="11" t="str">
        <x:v>candidate analysis;execution observation;path and input exploration;reporting and audit;reproduction and validation</x:v>
      </x:c>
      <x:c r="I298" s="11" t="str">
        <x:v>source-linked lead</x:v>
      </x:c>
      <x:c r="J298" s="11" t="str">
        <x:v>https://arxiv.org/pdf/2511.02780 | role p.1; action p.1; feedback p.3; validation p.1; evaluation p.1</x:v>
      </x:c>
      <x:c r="K298" s="11" t="str">
        <x:v>PoCo: Agentic Proof-of-Concept Exploit Generation for Smart Contracts</x:v>
      </x:c>
      <x:c r="L298" s="16" t="str">
        <x:v>A source-linked excerpt and locator are supplied as review leads for auditability.</x:v>
      </x:c>
      <x:c r="M298" s="16" t="str">
        <x:v>Mark only observable lifecycle actions or outputs. Reporting and audit requires explicit packaging, routing, disclosure, or audit transition; a report name alone is insufficient.</x:v>
      </x:c>
      <x:c r="N298" s="16" t="str">
        <x:v>candidate analysis;execution observation;reproduction and validation</x:v>
      </x:c>
      <x:c r="O298" s="16" t="str">
        <x:v>The cited source supports the selected label candidate analysis;execution observation;reproduction and validation; only observable workflow actions or outputs were retained.</x:v>
      </x:c>
      <x:c r="P298" s="16" t="str">
        <x:v>https://arxiv.org/pdf/2511.02780 | role p.1; action p.1; feedback p.3; validation p.1; evaluation p.1</x:v>
      </x:c>
      <x:c r="Q298" s="16" t="str">
        <x:v>no</x:v>
      </x:c>
      <x:c r="R298" s="11" t="str"/>
      <x:c r="S298" s="11" t="str">
        <x:v>2026-08-12</x:v>
      </x:c>
      <x:c r="T298" s="18" t="str">
        <x:f>IF(OR(AND(N298="unresolved",LEN(O298)&gt;0,LEN(P298)&gt;0,Q298="yes"),AND(LEN(N298)&gt;0,LEN(O298)&gt;0,LEN(P298)&gt;0,OR(Q298="yes",Q298="no"))),"ready","pending")</x:f>
        <x:v>ready</x:v>
      </x:c>
    </x:row>
    <x:row r="299" ht="44" customHeight="1">
      <x:c r="A299" s="10" t="str">
        <x:v>FMS1135__lifecycle</x:v>
      </x:c>
      <x:c r="B299" s="11" t="str">
        <x:v>FMS1135</x:v>
      </x:c>
      <x:c r="C299" s="11" t="str">
        <x:v>final_multisource_132</x:v>
      </x:c>
      <x:c r="D299" s="11" t="str">
        <x:v>QLCoder: A Query Synthesizer For Static Analysis of Security Vulnerabilities</x:v>
      </x:c>
      <x:c r="E299" s="11" t="str">
        <x:v>lifecycle coverage</x:v>
      </x:c>
      <x:c r="F299" s="11" t="str">
        <x:v>multi-label</x:v>
      </x:c>
      <x:c r="G299" s="11" t="str">
        <x:v>candidate analysis;execution observation;patch validation</x:v>
      </x:c>
      <x:c r="H299" s="11" t="str">
        <x:v>candidate analysis;execution observation;reporting and audit;reproduction and validation</x:v>
      </x:c>
      <x:c r="I299" s="11" t="str">
        <x:v>source-linked lead</x:v>
      </x:c>
      <x:c r="J299" s="11" t="str">
        <x:v>https://arxiv.org/pdf/2511.08462 | role p.1; action p.1; feedback p.1; validation p.1; evaluation p.1</x:v>
      </x:c>
      <x:c r="K299" s="11" t="str">
        <x:v>rogram anal- ysis. To address this challenge, we present QLCoder – an agentic framework that automatically synthesizes queries in CodeQL, a powerful static analysis engine, directly from a given CVE metadata. QLCoder embeds an LLM</x:v>
      </x:c>
      <x:c r="L299" s="16" t="str">
        <x:v>A source-linked excerpt and locator are supplied as review leads for auditability.</x:v>
      </x:c>
      <x:c r="M299" s="16" t="str">
        <x:v>Mark only observable lifecycle actions or outputs. Reporting and audit requires explicit packaging, routing, disclosure, or audit transition; a report name alone is insufficient.</x:v>
      </x:c>
      <x:c r="N299" s="16" t="str">
        <x:v>candidate analysis;execution observation;patch validation</x:v>
      </x:c>
      <x:c r="O299" s="16" t="str">
        <x:v>The cited source supports the selected label candidate analysis;execution observation;patch validation; only observable workflow actions or outputs were retained.</x:v>
      </x:c>
      <x:c r="P299" s="16" t="str">
        <x:v>https://arxiv.org/pdf/2511.08462 | role p.1; action p.1; feedback p.1; validation p.1; evaluation p.1</x:v>
      </x:c>
      <x:c r="Q299" s="16" t="str">
        <x:v>no</x:v>
      </x:c>
      <x:c r="R299" s="11" t="str"/>
      <x:c r="S299" s="11" t="str">
        <x:v>2026-08-12</x:v>
      </x:c>
      <x:c r="T299" s="18" t="str">
        <x:f>IF(OR(AND(N299="unresolved",LEN(O299)&gt;0,LEN(P299)&gt;0,Q299="yes"),AND(LEN(N299)&gt;0,LEN(O299)&gt;0,LEN(P299)&gt;0,OR(Q299="yes",Q299="no"))),"ready","pending")</x:f>
        <x:v>ready</x:v>
      </x:c>
    </x:row>
    <x:row r="300" ht="44" customHeight="1">
      <x:c r="A300" s="10" t="str">
        <x:v>FMS1135__capability</x:v>
      </x:c>
      <x:c r="B300" s="11" t="str">
        <x:v>FMS1135</x:v>
      </x:c>
      <x:c r="C300" s="11" t="str">
        <x:v>final_multisource_132</x:v>
      </x:c>
      <x:c r="D300" s="11" t="str">
        <x:v>QLCoder: A Query Synthesizer For Static Analysis of Security Vulnerabilities</x:v>
      </x:c>
      <x:c r="E300" s="11" t="str">
        <x:v>cross-stage capability</x:v>
      </x:c>
      <x:c r="F300" s="11" t="str">
        <x:v>multi-label</x:v>
      </x:c>
      <x:c r="G300" s="11" t="str">
        <x:v>context aggregation / rule extraction;failure reuse / strategy update;feedback interpretation / loop adjustment;tool routing / strategy routing;validation organization / evidence packaging</x:v>
      </x:c>
      <x:c r="H300" s="11" t="str">
        <x:v>context aggregation / rule extraction;feedback interpretation / loop adjustment;tool routing / strategy routing;validation organization / evidence packaging</x:v>
      </x:c>
      <x:c r="I300" s="11" t="str">
        <x:v>source-linked lead</x:v>
      </x:c>
      <x:c r="J300" s="11" t="str">
        <x:v>https://arxiv.org/pdf/2511.08462 | role p.1; action p.1; feedback p.1; validation p.1; evaluation p.1</x:v>
      </x:c>
      <x:c r="K300" s="11" t="str">
        <x:v>VE metadata. QLCoder embeds an LLM in a synthesis loop with execution feedback, while constraining its reasoning using a custom MCP interface that allows structured interaction with a Language Server Protocol (for syntax guidance) and a RAG database (for semantic retrieval of queries and</x:v>
      </x:c>
      <x:c r="L300" s="16" t="str">
        <x:v>A source-linked excerpt and locator are supplied as review leads for auditability.</x:v>
      </x:c>
      <x:c r="M300" s="16" t="str">
        <x:v>Require an explicit cross-stage connection. Information must guide later action; feedback must alter later action; packaging must assemble prior outputs; governance must enforce an actual gate.</x:v>
      </x:c>
      <x:c r="N300" s="16" t="str">
        <x:v>context aggregation / rule extraction;tool routing / strategy routing;feedback interpretation / loop adjustment;validation organization / evidence packaging;failure reuse / strategy update</x:v>
      </x:c>
      <x:c r="O300"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300" s="16" t="str">
        <x:v>https://arxiv.org/pdf/2511.08462 | role p.1; action p.1; feedback p.1; validation p.1; evaluation p.1</x:v>
      </x:c>
      <x:c r="Q300" s="16" t="str">
        <x:v>no</x:v>
      </x:c>
      <x:c r="R300" s="11" t="str"/>
      <x:c r="S300" s="11" t="str">
        <x:v>2026-08-12</x:v>
      </x:c>
      <x:c r="T300" s="18" t="str">
        <x:f>IF(OR(AND(N300="unresolved",LEN(O300)&gt;0,LEN(P300)&gt;0,Q300="yes"),AND(LEN(N300)&gt;0,LEN(O300)&gt;0,LEN(P300)&gt;0,OR(Q300="yes",Q300="no"))),"ready","pending")</x:f>
        <x:v>ready</x:v>
      </x:c>
    </x:row>
    <x:row r="301" ht="44" customHeight="1">
      <x:c r="A301" s="10" t="str">
        <x:v>FMS1136__lifecycle</x:v>
      </x:c>
      <x:c r="B301" s="11" t="str">
        <x:v>FMS1136</x:v>
      </x:c>
      <x:c r="C301" s="11" t="str">
        <x:v>final_multisource_132</x:v>
      </x:c>
      <x:c r="D301" s="11" t="str">
        <x:v>QLPro: Automated Code Vulnerability Discovery via LLM and Static Code Analysis Integration</x:v>
      </x:c>
      <x:c r="E301" s="11" t="str">
        <x:v>lifecycle coverage</x:v>
      </x:c>
      <x:c r="F301" s="11" t="str">
        <x:v>multi-label</x:v>
      </x:c>
      <x:c r="G301" s="11" t="str">
        <x:v>candidate analysis;execution observation;reporting and audit</x:v>
      </x:c>
      <x:c r="H301" s="11" t="str">
        <x:v>candidate analysis;reporting and audit</x:v>
      </x:c>
      <x:c r="I301" s="11" t="str">
        <x:v>source-linked lead</x:v>
      </x:c>
      <x:c r="J301" s="11" t="str">
        <x:v>https://arxiv.org/pdf/2506.23644 | role p.1; action p.1; feedback p.1; validation p.3; evaluation p.1</x:v>
      </x:c>
      <x:c r="K301" s="11" t="str">
        <x:v>QLPro: Automated Code Vulnerability Discovery via LLM and Static Code Analysis Integration Junze Hu1,2 , Xiangyu Jin1,2 , Yizhe Zeng1</x:v>
      </x:c>
      <x:c r="L301" s="16" t="str">
        <x:v>A source-linked excerpt and locator are supplied as review leads for auditability.</x:v>
      </x:c>
      <x:c r="M301" s="16" t="str">
        <x:v>Mark only observable lifecycle actions or outputs. Reporting and audit requires explicit packaging, routing, disclosure, or audit transition; a report name alone is insufficient.</x:v>
      </x:c>
      <x:c r="N301" s="16" t="str">
        <x:v>candidate analysis;execution observation;reporting and audit</x:v>
      </x:c>
      <x:c r="O301" s="16" t="str">
        <x:v>The cited source supports the selected label candidate analysis;execution observation;reporting and audit; only observable workflow actions or outputs were retained.</x:v>
      </x:c>
      <x:c r="P301" s="16" t="str">
        <x:v>https://arxiv.org/pdf/2506.23644 | role p.1; action p.1; feedback p.1; validation p.3; evaluation p.1</x:v>
      </x:c>
      <x:c r="Q301" s="16" t="str">
        <x:v>no</x:v>
      </x:c>
      <x:c r="R301" s="11" t="str"/>
      <x:c r="S301" s="11" t="str">
        <x:v>2026-08-12</x:v>
      </x:c>
      <x:c r="T301" s="18" t="str">
        <x:f>IF(OR(AND(N301="unresolved",LEN(O301)&gt;0,LEN(P301)&gt;0,Q301="yes"),AND(LEN(N301)&gt;0,LEN(O301)&gt;0,LEN(P301)&gt;0,OR(Q301="yes",Q301="no"))),"ready","pending")</x:f>
        <x:v>ready</x:v>
      </x:c>
    </x:row>
    <x:row r="302" ht="44" customHeight="1">
      <x:c r="A302" s="10" t="str">
        <x:v>FMS1136__capability</x:v>
      </x:c>
      <x:c r="B302" s="11" t="str">
        <x:v>FMS1136</x:v>
      </x:c>
      <x:c r="C302" s="11" t="str">
        <x:v>final_multisource_132</x:v>
      </x:c>
      <x:c r="D302" s="11" t="str">
        <x:v>QLPro: Automated Code Vulnerability Discovery via LLM and Static Code Analysis Integration</x:v>
      </x:c>
      <x:c r="E302" s="11" t="str">
        <x:v>cross-stage capability</x:v>
      </x:c>
      <x:c r="F302" s="11" t="str">
        <x:v>multi-label</x:v>
      </x:c>
      <x:c r="G302" s="11" t="str">
        <x:v>context aggregation / rule extraction;failure reuse / strategy update;feedback interpretation / loop adjustment;tool routing / strategy routing</x:v>
      </x:c>
      <x:c r="H302" s="11" t="str">
        <x:v>context aggregation / rule extraction;tool routing / strategy routing;validation organization / evidence packaging</x:v>
      </x:c>
      <x:c r="I302" s="11" t="str">
        <x:v>source-linked lead</x:v>
      </x:c>
      <x:c r="J302" s="11" t="str">
        <x:v>https://arxiv.org/pdf/2506.23644 | role p.1; action p.1; feedback p.1; validation p.3; evaluation p.1</x:v>
      </x:c>
      <x:c r="K302" s="11" t="str">
        <x:v>minantly rely on built-in official rule by limitations in context window size, memory capacity, and libraries for vulnerability detection. These rules are inten- arXiv:2506.23644v3 [cs.SE] 19 Jul 2025 complex reasoning abilities, making direct vulnerability de- tionally designed with generality in mind, resulting in highly tecti</x:v>
      </x:c>
      <x:c r="L302" s="16" t="str">
        <x:v>A source-linked excerpt and locator are supplied as review leads for auditability.</x:v>
      </x:c>
      <x:c r="M302" s="16" t="str">
        <x:v>Require an explicit cross-stage connection. Information must guide later action; feedback must alter later action; packaging must assemble prior outputs; governance must enforce an actual gate.</x:v>
      </x:c>
      <x:c r="N302" s="16" t="str">
        <x:v>context aggregation / rule extraction;tool routing / strategy routing;feedback interpretation / loop adjustment;failure reuse / strategy update</x:v>
      </x:c>
      <x:c r="O302" s="16" t="str">
        <x:v>The cited source supports the selected label context aggregation / rule extraction;tool routing / strategy routing;feedback interpretation / loop adjustment;failure reuse / strategy update; each retained label requires an explicit connection that guides later action, feedback, packaging, or a gate.</x:v>
      </x:c>
      <x:c r="P302" s="16" t="str">
        <x:v>https://arxiv.org/pdf/2506.23644 | role p.1; action p.1; feedback p.1; validation p.3; evaluation p.1</x:v>
      </x:c>
      <x:c r="Q302" s="16" t="str">
        <x:v>no</x:v>
      </x:c>
      <x:c r="R302" s="11" t="str"/>
      <x:c r="S302" s="11" t="str">
        <x:v>2026-08-12</x:v>
      </x:c>
      <x:c r="T302" s="18" t="str">
        <x:f>IF(OR(AND(N302="unresolved",LEN(O302)&gt;0,LEN(P302)&gt;0,Q302="yes"),AND(LEN(N302)&gt;0,LEN(O302)&gt;0,LEN(P302)&gt;0,OR(Q302="yes",Q302="no"))),"ready","pending")</x:f>
        <x:v>ready</x:v>
      </x:c>
    </x:row>
    <x:row r="303" ht="44" customHeight="1">
      <x:c r="A303" s="10" t="str">
        <x:v>FMS1136__external_traceability</x:v>
      </x:c>
      <x:c r="B303" s="11" t="str">
        <x:v>FMS1136</x:v>
      </x:c>
      <x:c r="C303" s="11" t="str">
        <x:v>final_multisource_132</x:v>
      </x:c>
      <x:c r="D303" s="11" t="str">
        <x:v>QLPro: Automated Code Vulnerability Discovery via LLM and Static Code Analysis Integration</x:v>
      </x:c>
      <x:c r="E303" s="11" t="str">
        <x:v>external traceability</x:v>
      </x:c>
      <x:c r="F303" s="11" t="str">
        <x:v>single-label</x:v>
      </x:c>
      <x:c r="G303" s="11" t="str">
        <x:v>author-reported external clue</x:v>
      </x:c>
      <x:c r="H303" s="11" t="str">
        <x:v>benchmark ground truth / public material</x:v>
      </x:c>
      <x:c r="I303" s="11" t="str">
        <x:v>source-linked lead</x:v>
      </x:c>
      <x:c r="J303" s="11" t="str">
        <x:v>https://arxiv.org/pdf/2506.23644 | role p.1; action p.1; feedback p.1; validation p.3; evaluation p.1</x:v>
      </x:c>
      <x:c r="K303" s="11" t="str">
        <x:v>Ms. threatening vulnerabilities—it faces the following limita- For evaluation, we constructed a new dataset, JavaTest, com- tions: L1: Expert Dependency. Custom rule quality de- prising 10 open-source projects from GitHub with 62 confirmed pends directly on the author’s expertise, vulnerability pat- vulnerabilities. CodeQL, a state-of-the-art sta</x:v>
      </x:c>
      <x:c r="L303" s="16" t="str">
        <x:v>A source-linked excerpt and locator are supplied as review leads for auditability.</x:v>
      </x:c>
      <x:c r="M303" s="16" t="str">
        <x:v>Code separately from principal output. Only item-level alignment between a concrete system result and a specific public external record qualifies as publicly aligned external trace.</x:v>
      </x:c>
      <x:c r="N303" s="16" t="str">
        <x:v>author-reported external clue</x:v>
      </x:c>
      <x:c r="O303" s="16" t="str">
        <x:v>The cited source supports the selected label author-reported external clue under the codebook's item-level public-record alignment criterion.</x:v>
      </x:c>
      <x:c r="P303" s="16" t="str">
        <x:v>https://arxiv.org/pdf/2506.23644 | role p.1; action p.1; feedback p.1; validation p.3; evaluation p.1</x:v>
      </x:c>
      <x:c r="Q303" s="16" t="str">
        <x:v>no</x:v>
      </x:c>
      <x:c r="R303" s="11" t="str"/>
      <x:c r="S303" s="11" t="str">
        <x:v>2026-08-12</x:v>
      </x:c>
      <x:c r="T303" s="18" t="str">
        <x:f>IF(OR(AND(N303="unresolved",LEN(O303)&gt;0,LEN(P303)&gt;0,Q303="yes"),AND(LEN(N303)&gt;0,LEN(O303)&gt;0,LEN(P303)&gt;0,OR(Q303="yes",Q303="no"))),"ready","pending")</x:f>
        <x:v>ready</x:v>
      </x:c>
    </x:row>
    <x:row r="304" ht="44" customHeight="1">
      <x:c r="A304" s="10" t="str">
        <x:v>FMS1149__lifecycle</x:v>
      </x:c>
      <x:c r="B304" s="11" t="str">
        <x:v>FMS1149</x:v>
      </x:c>
      <x:c r="C304" s="11" t="str">
        <x:v>final_multisource_132</x:v>
      </x:c>
      <x:c r="D304" s="11" t="str">
        <x:v>RapidPen: Fully Automated IP-to-Shell Penetration Testing with LLM-based Agents</x:v>
      </x:c>
      <x:c r="E304" s="11" t="str">
        <x:v>lifecycle coverage</x:v>
      </x:c>
      <x:c r="F304" s="11" t="str">
        <x:v>multi-label</x:v>
      </x:c>
      <x:c r="G304" s="11" t="str">
        <x:v>candidate analysis;execution observation;path and input exploration;reproduction and validation</x:v>
      </x:c>
      <x:c r="H304" s="11" t="str">
        <x:v>candidate analysis;execution observation;path and input exploration;reporting and audit</x:v>
      </x:c>
      <x:c r="I304" s="11" t="str">
        <x:v>source-linked lead</x:v>
      </x:c>
      <x:c r="J304" s="11" t="str">
        <x:v>https://arxiv.org/pdf/2502.16730 | role p.1; action p.1; feedback p.1; validation p.1; evaluation p.1</x:v>
      </x:c>
      <x:c r="K304" s="11" t="str">
        <x:v>In our evaluation against a vulnerable target from the Hack that incorporate LLMs often rely on a human-in-the-loop to The Box platform, RapidPen achieved shell access within validate generated scans and exploits or to guide testing when 200–400 seconds at a per-run cos</x:v>
      </x:c>
      <x:c r="L304" s="16" t="str">
        <x:v>A source-linked excerpt and locator are supplied as review leads for auditability.</x:v>
      </x:c>
      <x:c r="M304" s="16" t="str">
        <x:v>Mark only observable lifecycle actions or outputs. Reporting and audit requires explicit packaging, routing, disclosure, or audit transition; a report name alone is insufficient.</x:v>
      </x:c>
      <x:c r="N304" s="16" t="str">
        <x:v>candidate analysis;path and input exploration;execution observation;reproduction and validation</x:v>
      </x:c>
      <x:c r="O304" s="16" t="str">
        <x:v>The cited source supports the selected label candidate analysis;path and input exploration;execution observation;reproduction and validation; only observable workflow actions or outputs were retained.</x:v>
      </x:c>
      <x:c r="P304" s="16" t="str">
        <x:v>https://arxiv.org/pdf/2502.16730 | role p.1; action p.1; feedback p.1; validation p.1; evaluation p.1</x:v>
      </x:c>
      <x:c r="Q304" s="16" t="str">
        <x:v>no</x:v>
      </x:c>
      <x:c r="R304" s="11" t="str"/>
      <x:c r="S304" s="11" t="str">
        <x:v>2026-08-12</x:v>
      </x:c>
      <x:c r="T304" s="18" t="str">
        <x:f>IF(OR(AND(N304="unresolved",LEN(O304)&gt;0,LEN(P304)&gt;0,Q304="yes"),AND(LEN(N304)&gt;0,LEN(O304)&gt;0,LEN(P304)&gt;0,OR(Q304="yes",Q304="no"))),"ready","pending")</x:f>
        <x:v>ready</x:v>
      </x:c>
    </x:row>
    <x:row r="305" ht="44" customHeight="1">
      <x:c r="A305" s="10" t="str">
        <x:v>FMS1149__capability</x:v>
      </x:c>
      <x:c r="B305" s="11" t="str">
        <x:v>FMS1149</x:v>
      </x:c>
      <x:c r="C305" s="11" t="str">
        <x:v>final_multisource_132</x:v>
      </x:c>
      <x:c r="D305" s="11" t="str">
        <x:v>RapidPen: Fully Automated IP-to-Shell Penetration Testing with LLM-based Agents</x:v>
      </x:c>
      <x:c r="E305" s="11" t="str">
        <x:v>cross-stage capability</x:v>
      </x:c>
      <x:c r="F305" s="11" t="str">
        <x:v>multi-label</x:v>
      </x:c>
      <x:c r="G305" s="11" t="str">
        <x:v>context aggregation / rule extraction;failure reuse / strategy update;feedback interpretation / loop adjustment;long-horizon state management;tool routing / strategy routing;validation organization / evidence packaging</x:v>
      </x:c>
      <x:c r="H305" s="11" t="str">
        <x:v>context aggregation / rule extraction;failure reuse / strategy update;feedback interpretation / loop adjustment;governance / human gates / disclosure control;long-horizon state management;tool routing / strategy routing;validation organization / evidence packaging</x:v>
      </x:c>
      <x:c r="I305" s="11" t="str">
        <x:v>source-linked lead</x:v>
      </x:c>
      <x:c r="J305" s="11" t="str">
        <x:v>https://arxiv.org/pdf/2502.16730 | role p.1; action p.1; feedback p.1; validation p.1; evaluation p.1</x:v>
      </x:c>
      <x:c r="K305" s="11" t="str">
        <x:v>ments in large language models (LLMs) have driven progress cution feedback loop (Act), RapidPen systematically scans in automating pentesting tasks, such as vulnerability scanning services, identifies viable attack vectors, and executes targeted</x:v>
      </x:c>
      <x:c r="L305" s="16" t="str">
        <x:v>A source-linked excerpt and locator are supplied as review leads for auditability.</x:v>
      </x:c>
      <x:c r="M305" s="16" t="str">
        <x:v>Require an explicit cross-stage connection. Information must guide later action; feedback must alter later action; packaging must assemble prior outputs; governance must enforce an actual gate.</x:v>
      </x:c>
      <x:c r="N305" s="16" t="str">
        <x:v>context aggregation / rule extraction;tool routing / strategy routing;feedback interpretation / loop adjustment;validation organization / evidence packaging;long-horizon state management;failure reuse / strategy update</x:v>
      </x:c>
      <x:c r="O305"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305" s="16" t="str">
        <x:v>https://arxiv.org/pdf/2502.16730 | role p.1; action p.1; feedback p.1; validation p.1; evaluation p.1</x:v>
      </x:c>
      <x:c r="Q305" s="16" t="str">
        <x:v>no</x:v>
      </x:c>
      <x:c r="R305" s="11" t="str"/>
      <x:c r="S305" s="11" t="str">
        <x:v>2026-08-12</x:v>
      </x:c>
      <x:c r="T305" s="18" t="str">
        <x:f>IF(OR(AND(N305="unresolved",LEN(O305)&gt;0,LEN(P305)&gt;0,Q305="yes"),AND(LEN(N305)&gt;0,LEN(O305)&gt;0,LEN(P305)&gt;0,OR(Q305="yes",Q305="no"))),"ready","pending")</x:f>
        <x:v>ready</x:v>
      </x:c>
    </x:row>
    <x:row r="306" ht="44" customHeight="1">
      <x:c r="A306" s="10" t="str">
        <x:v>FMS1149__external_traceability</x:v>
      </x:c>
      <x:c r="B306" s="11" t="str">
        <x:v>FMS1149</x:v>
      </x:c>
      <x:c r="C306" s="11" t="str">
        <x:v>final_multisource_132</x:v>
      </x:c>
      <x:c r="D306" s="11" t="str">
        <x:v>RapidPen: Fully Automated IP-to-Shell Penetration Testing with LLM-based Agents</x:v>
      </x:c>
      <x:c r="E306" s="11" t="str">
        <x:v>external traceability</x:v>
      </x:c>
      <x:c r="F306" s="11" t="str">
        <x:v>single-label</x:v>
      </x:c>
      <x:c r="G306" s="11" t="str">
        <x:v>benchmark ground truth / public material</x:v>
      </x:c>
      <x:c r="H306" s="11" t="str">
        <x:v>no external trace reported</x:v>
      </x:c>
      <x:c r="I306" s="11" t="str">
        <x:v>source-linked lead</x:v>
      </x:c>
      <x:c r="J306" s="11" t="str">
        <x:v>https://arxiv.org/pdf/2502.16730 | role p.1; action p.1; feedback p.1; validation p.1; evaluation p.1</x:v>
      </x:c>
      <x:c r="K306" s="11" t="str">
        <x:v>received comparatively less attention. Existing approaches In our evaluation against a vulnerable target from the Hack that incorporate LLMs often rely on a human-in-the-loop to The Box platform, RapidPen achieved shell access within validate generated scans and exploits or to guide testing when 200–400 seconds at a per-run cost of approximately $</x:v>
      </x:c>
      <x:c r="L306" s="16" t="str">
        <x:v>A source-linked excerpt and locator are supplied as review leads for auditability.</x:v>
      </x:c>
      <x:c r="M306" s="16" t="str">
        <x:v>Code separately from principal output. Only item-level alignment between a concrete system result and a specific public external record qualifies as publicly aligned external trace.</x:v>
      </x:c>
      <x:c r="N306" s="16" t="str">
        <x:v>benchmark ground truth / public material</x:v>
      </x:c>
      <x:c r="O306" s="16" t="str">
        <x:v>The cited source supports the selected label benchmark ground truth / public material under the codebook's item-level public-record alignment criterion.</x:v>
      </x:c>
      <x:c r="P306" s="16" t="str">
        <x:v>https://arxiv.org/pdf/2502.16730 | role p.1; action p.1; feedback p.1; validation p.1; evaluation p.1</x:v>
      </x:c>
      <x:c r="Q306" s="16" t="str">
        <x:v>no</x:v>
      </x:c>
      <x:c r="R306" s="11" t="str"/>
      <x:c r="S306" s="11" t="str">
        <x:v>2026-08-12</x:v>
      </x:c>
      <x:c r="T306" s="18" t="str">
        <x:f>IF(OR(AND(N306="unresolved",LEN(O306)&gt;0,LEN(P306)&gt;0,Q306="yes"),AND(LEN(N306)&gt;0,LEN(O306)&gt;0,LEN(P306)&gt;0,OR(Q306="yes",Q306="no"))),"ready","pending")</x:f>
        <x:v>ready</x:v>
      </x:c>
    </x:row>
    <x:row r="307" ht="44" customHeight="1">
      <x:c r="A307" s="10" t="str">
        <x:v>FMS1161__lifecycle</x:v>
      </x:c>
      <x:c r="B307" s="11" t="str">
        <x:v>FMS1161</x:v>
      </x:c>
      <x:c r="C307" s="11" t="str">
        <x:v>final_multisource_132</x:v>
      </x:c>
      <x:c r="D307" s="11" t="str">
        <x:v>Red-MIRROR: Agentic LLM-based Autonomous Penetration Testing with Reflective Verification and Knowledge-augmented Interaction</x:v>
      </x:c>
      <x:c r="E307" s="11" t="str">
        <x:v>lifecycle coverage</x:v>
      </x:c>
      <x:c r="F307" s="11" t="str">
        <x:v>multi-label</x:v>
      </x:c>
      <x:c r="G307" s="11" t="str">
        <x:v>candidate analysis;execution observation;path and input exploration;reproduction and validation</x:v>
      </x:c>
      <x:c r="H307" s="11" t="str">
        <x:v>candidate analysis;execution observation;path and input exploration;reporting and audit</x:v>
      </x:c>
      <x:c r="I307" s="11" t="str">
        <x:v>source-linked lead</x:v>
      </x:c>
      <x:c r="J307" s="11" t="str">
        <x:v>https://arxiv.org/pdf/2603.27127 | role p.1; action p.2; feedback p.1; validation p.1; evaluation p.1</x:v>
      </x:c>
      <x:c r="K307" s="11" t="str">
        <x:v>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x:v>
      </x:c>
      <x:c r="L307" s="16" t="str">
        <x:v>A source-linked excerpt and locator are supplied as review leads for auditability.</x:v>
      </x:c>
      <x:c r="M307" s="16" t="str">
        <x:v>Mark only observable lifecycle actions or outputs. Reporting and audit requires explicit packaging, routing, disclosure, or audit transition; a report name alone is insufficient.</x:v>
      </x:c>
      <x:c r="N307" s="16" t="str">
        <x:v>candidate analysis;path and input exploration;execution observation;reproduction and validation</x:v>
      </x:c>
      <x:c r="O307" s="16" t="str">
        <x:v>The cited source supports the selected label candidate analysis;path and input exploration;execution observation;reproduction and validation; only observable workflow actions or outputs were retained.</x:v>
      </x:c>
      <x:c r="P307" s="16" t="str">
        <x:v>https://arxiv.org/pdf/2603.27127 | role p.1; action p.2; feedback p.1; validation p.1; evaluation p.1</x:v>
      </x:c>
      <x:c r="Q307" s="16" t="str">
        <x:v>no</x:v>
      </x:c>
      <x:c r="R307" s="11" t="str"/>
      <x:c r="S307" s="11" t="str">
        <x:v>2026-08-12</x:v>
      </x:c>
      <x:c r="T307" s="18" t="str">
        <x:f>IF(OR(AND(N307="unresolved",LEN(O307)&gt;0,LEN(P307)&gt;0,Q307="yes"),AND(LEN(N307)&gt;0,LEN(O307)&gt;0,LEN(P307)&gt;0,OR(Q307="yes",Q307="no"))),"ready","pending")</x:f>
        <x:v>ready</x:v>
      </x:c>
    </x:row>
    <x:row r="308" ht="44" customHeight="1">
      <x:c r="A308" s="10" t="str">
        <x:v>FMS1227__lifecycle</x:v>
      </x:c>
      <x:c r="B308" s="11" t="str">
        <x:v>FMS1227</x:v>
      </x:c>
      <x:c r="C308" s="11" t="str">
        <x:v>final_multisource_132</x:v>
      </x:c>
      <x:c r="D308" s="11" t="str">
        <x:v>SAVANT: Vulnerability Detection in Application Dependencies through Semantic-Guided Reachability Analysis</x:v>
      </x:c>
      <x:c r="E308" s="11" t="str">
        <x:v>lifecycle coverage</x:v>
      </x:c>
      <x:c r="F308" s="11" t="str">
        <x:v>multi-label</x:v>
      </x:c>
      <x:c r="G308" s="11" t="str">
        <x:v>candidate analysis;execution observation</x:v>
      </x:c>
      <x:c r="H308" s="11" t="str">
        <x:v>candidate analysis;reporting and audit</x:v>
      </x:c>
      <x:c r="I308" s="11" t="str">
        <x:v>source-linked lead</x:v>
      </x:c>
      <x:c r="J308" s="11" t="str">
        <x:v>https://arxiv.org/pdf/2506.17798 | role p.1; action p.1; feedback p.2; validation p.1; evaluation p.1</x:v>
      </x:c>
      <x:c r="K308" s="11" t="str">
        <x:v>h based on the library version without considering the API us- LLM-powered context analysis for accurate vulnerability de- age in the codebase, which leads to false positives - incorrect</x:v>
      </x:c>
      <x:c r="L308" s="16" t="str">
        <x:v>A source-linked excerpt and locator are supplied as review leads for auditability.</x:v>
      </x:c>
      <x:c r="M308" s="16" t="str">
        <x:v>Mark only observable lifecycle actions or outputs. Reporting and audit requires explicit packaging, routing, disclosure, or audit transition; a report name alone is insufficient.</x:v>
      </x:c>
      <x:c r="N308" s="16" t="str">
        <x:v>candidate analysis;execution observation</x:v>
      </x:c>
      <x:c r="O308" s="16" t="str">
        <x:v>The cited source supports the selected label candidate analysis;execution observation; only observable workflow actions or outputs were retained.</x:v>
      </x:c>
      <x:c r="P308" s="16" t="str">
        <x:v>https://arxiv.org/pdf/2506.17798 | role p.1; action p.1; feedback p.2; validation p.1; evaluation p.1</x:v>
      </x:c>
      <x:c r="Q308" s="16" t="str">
        <x:v>no</x:v>
      </x:c>
      <x:c r="R308" s="11" t="str"/>
      <x:c r="S308" s="11" t="str">
        <x:v>2026-08-12</x:v>
      </x:c>
      <x:c r="T308" s="18" t="str">
        <x:f>IF(OR(AND(N308="unresolved",LEN(O308)&gt;0,LEN(P308)&gt;0,Q308="yes"),AND(LEN(N308)&gt;0,LEN(O308)&gt;0,LEN(P308)&gt;0,OR(Q308="yes",Q308="no"))),"ready","pending")</x:f>
        <x:v>ready</x:v>
      </x:c>
    </x:row>
    <x:row r="309" ht="44" customHeight="1">
      <x:c r="A309" s="10" t="str">
        <x:v>FMS1227__capability</x:v>
      </x:c>
      <x:c r="B309" s="11" t="str">
        <x:v>FMS1227</x:v>
      </x:c>
      <x:c r="C309" s="11" t="str">
        <x:v>final_multisource_132</x:v>
      </x:c>
      <x:c r="D309" s="11" t="str">
        <x:v>SAVANT: Vulnerability Detection in Application Dependencies through Semantic-Guided Reachability Analysis</x:v>
      </x:c>
      <x:c r="E309" s="11" t="str">
        <x:v>cross-stage capability</x:v>
      </x:c>
      <x:c r="F309" s="11" t="str">
        <x:v>multi-label</x:v>
      </x:c>
      <x:c r="G309" s="11" t="str">
        <x:v>context aggregation / rule extraction;feedback interpretation / loop adjustment;tool routing / strategy routing</x:v>
      </x:c>
      <x:c r="H309" s="11" t="str">
        <x:v>context aggregation / rule extraction;tool routing / strategy routing;validation organization / evidence packaging</x:v>
      </x:c>
      <x:c r="I309" s="11" t="str">
        <x:v>source-linked lead</x:v>
      </x:c>
      <x:c r="J309" s="11" t="str">
        <x:v>https://arxiv.org/pdf/2506.17798 | role p.1; action p.1; feedback p.2; validation p.1; evaluation p.1</x:v>
      </x:c>
      <x:c r="K309" s="11" t="str">
        <x:v>ectors to CVEs, and proof-of-concept demonstrations. While current locate potential vulnerabilities. It iteratively expands context version checkers and static analysis tools only check library through reflection-based queries until sufficient information versions and code patterns, attackers can analyze how vul- is gathered. The LLM then analyzes this program context nerable library APIs interact with application-level security with API</x:v>
      </x:c>
      <x:c r="L309" s="16" t="str">
        <x:v>A source-linked excerpt and locator are supplied as review leads for auditability.</x:v>
      </x:c>
      <x:c r="M309" s="16" t="str">
        <x:v>Require an explicit cross-stage connection. Information must guide later action; feedback must alter later action; packaging must assemble prior outputs; governance must enforce an actual gate.</x:v>
      </x:c>
      <x:c r="N309" s="16" t="str">
        <x:v>context aggregation / rule extraction;tool routing / strategy routing;feedback interpretation / loop adjustment</x:v>
      </x:c>
      <x:c r="O309" s="16" t="str">
        <x:v>The cited source supports the selected label context aggregation / rule extraction;tool routing / strategy routing;feedback interpretation / loop adjustment; each retained label requires an explicit connection that guides later action, feedback, packaging, or a gate.</x:v>
      </x:c>
      <x:c r="P309" s="16" t="str">
        <x:v>https://arxiv.org/pdf/2506.17798 | role p.1; action p.1; feedback p.2; validation p.1; evaluation p.1</x:v>
      </x:c>
      <x:c r="Q309" s="16" t="str">
        <x:v>no</x:v>
      </x:c>
      <x:c r="R309" s="11" t="str"/>
      <x:c r="S309" s="11" t="str">
        <x:v>2026-08-12</x:v>
      </x:c>
      <x:c r="T309" s="18" t="str">
        <x:f>IF(OR(AND(N309="unresolved",LEN(O309)&gt;0,LEN(P309)&gt;0,Q309="yes"),AND(LEN(N309)&gt;0,LEN(O309)&gt;0,LEN(P309)&gt;0,OR(Q309="yes",Q309="no"))),"ready","pending")</x:f>
        <x:v>ready</x:v>
      </x:c>
    </x:row>
    <x:row r="310" ht="44" customHeight="1">
      <x:c r="A310" s="10" t="str">
        <x:v>FMS1239__lifecycle</x:v>
      </x:c>
      <x:c r="B310" s="11" t="str">
        <x:v>FMS1239</x:v>
      </x:c>
      <x:c r="C310" s="11" t="str">
        <x:v>final_multisource_132</x:v>
      </x:c>
      <x:c r="D310" s="11" t="str">
        <x:v>SEC-bench Pro: Can Language Models Solve Long-Horizon Software Security Tasks?</x:v>
      </x:c>
      <x:c r="E310" s="11" t="str">
        <x:v>lifecycle coverage</x:v>
      </x:c>
      <x:c r="F310" s="11" t="str">
        <x:v>multi-label</x:v>
      </x:c>
      <x:c r="G310" s="11" t="str">
        <x:v>candidate analysis;execution observation;patch validation;path and input exploration;reproduction and validation</x:v>
      </x:c>
      <x:c r="H310" s="11" t="str">
        <x:v>candidate analysis;execution observation;path and input exploration;reporting and audit</x:v>
      </x:c>
      <x:c r="I310" s="11" t="str">
        <x:v>source-linked lead</x:v>
      </x:c>
      <x:c r="J310" s="11" t="str">
        <x:v>https://arxiv.org/pdf/2605.26548 | role p.3; action p.1; feedback p.1; validation p.1; evaluation p.1</x:v>
      </x:c>
      <x:c r="K310" s="11" t="str">
        <x:v>s we browser engines, where PoCs are JavaScript inputs driven evaluate test a different capability: the agent must reason about through an interpreter shell, and the Linux kernel, where PoCs internal execution semantics and synthesize a PoC that reaches are</x:v>
      </x:c>
      <x:c r="L310" s="16" t="str">
        <x:v>A source-linked excerpt and locator are supplied as review leads for auditability.</x:v>
      </x:c>
      <x:c r="M310" s="16" t="str">
        <x:v>Mark only observable lifecycle actions or outputs. Reporting and audit requires explicit packaging, routing, disclosure, or audit transition; a report name alone is insufficient.</x:v>
      </x:c>
      <x:c r="N310" s="16" t="str">
        <x:v>candidate analysis;path and input exploration;execution observation;reproduction and validation;patch validation</x:v>
      </x:c>
      <x:c r="O310" s="16" t="str">
        <x:v>The cited source supports the selected label candidate analysis;path and input exploration;execution observation;reproduction and validation;patch validation; only observable workflow actions or outputs were retained.</x:v>
      </x:c>
      <x:c r="P310" s="16" t="str">
        <x:v>https://arxiv.org/pdf/2605.26548 | role p.3; action p.1; feedback p.1; validation p.1; evaluation p.1</x:v>
      </x:c>
      <x:c r="Q310" s="16" t="str">
        <x:v>no</x:v>
      </x:c>
      <x:c r="R310" s="11" t="str"/>
      <x:c r="S310" s="11" t="str">
        <x:v>2026-08-12</x:v>
      </x:c>
      <x:c r="T310" s="18" t="str">
        <x:f>IF(OR(AND(N310="unresolved",LEN(O310)&gt;0,LEN(P310)&gt;0,Q310="yes"),AND(LEN(N310)&gt;0,LEN(O310)&gt;0,LEN(P310)&gt;0,OR(Q310="yes",Q310="no"))),"ready","pending")</x:f>
        <x:v>ready</x:v>
      </x:c>
    </x:row>
    <x:row r="311" ht="44" customHeight="1">
      <x:c r="A311" s="10" t="str">
        <x:v>FMS1239__capability</x:v>
      </x:c>
      <x:c r="B311" s="11" t="str">
        <x:v>FMS1239</x:v>
      </x:c>
      <x:c r="C311" s="11" t="str">
        <x:v>final_multisource_132</x:v>
      </x:c>
      <x:c r="D311" s="11" t="str">
        <x:v>SEC-bench Pro: Can Language Models Solve Long-Horizon Software Security Tasks?</x:v>
      </x:c>
      <x:c r="E311" s="11" t="str">
        <x:v>cross-stage capability</x:v>
      </x:c>
      <x:c r="F311" s="11" t="str">
        <x:v>multi-label</x:v>
      </x:c>
      <x:c r="G311" s="11" t="str">
        <x:v>context aggregation / rule extraction;failure reuse / strategy update;feedback interpretation / loop adjustment;long-horizon state management;tool routing / strategy routing;validation organization / evidence packaging</x:v>
      </x:c>
      <x:c r="H311" s="11" t="str">
        <x:v>context aggregation / rule extraction;feedback interpretation / loop adjustment;governance / human gates / disclosure control;long-horizon state management;tool routing / strategy routing;validation organization / evidence packaging</x:v>
      </x:c>
      <x:c r="I311" s="11" t="str">
        <x:v>source-linked lead</x:v>
      </x:c>
      <x:c r="J311" s="11" t="str">
        <x:v>https://arxiv.org/pdf/2605.26548 | role p.3; action p.1; feedback p.1; validation p.1; evaluation p.1</x:v>
      </x:c>
      <x:c r="K311" s="11" t="str">
        <x:v>large codebases and reasoning about reachable paths from families, including memory-safety, sandbox, JIT, race-condition, public interfaces. 2) Almost all existing benchmarks adopt and kernel-subsystem bugs. Across six frontier commercial and open-weight models and three coding agents, the strongest, C ODEX target-specific and pattern-based graders t</x:v>
      </x:c>
      <x:c r="L311" s="16" t="str">
        <x:v>A source-linked excerpt and locator are supplied as review leads for auditability.</x:v>
      </x:c>
      <x:c r="M311" s="16" t="str">
        <x:v>Require an explicit cross-stage connection. Information must guide later action; feedback must alter later action; packaging must assemble prior outputs; governance must enforce an actual gate.</x:v>
      </x:c>
      <x:c r="N311" s="16" t="str">
        <x:v>context aggregation / rule extraction;tool routing / strategy routing;feedback interpretation / loop adjustment;validation organization / evidence packaging;long-horizon state management;failure reuse / strategy update</x:v>
      </x:c>
      <x:c r="O311"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311" s="16" t="str">
        <x:v>https://arxiv.org/pdf/2605.26548 | role p.3; action p.1; feedback p.1; validation p.1; evaluation p.1</x:v>
      </x:c>
      <x:c r="Q311" s="16" t="str">
        <x:v>no</x:v>
      </x:c>
      <x:c r="R311" s="11" t="str"/>
      <x:c r="S311" s="11" t="str">
        <x:v>2026-08-12</x:v>
      </x:c>
      <x:c r="T311" s="18" t="str">
        <x:f>IF(OR(AND(N311="unresolved",LEN(O311)&gt;0,LEN(P311)&gt;0,Q311="yes"),AND(LEN(N311)&gt;0,LEN(O311)&gt;0,LEN(P311)&gt;0,OR(Q311="yes",Q311="no"))),"ready","pending")</x:f>
        <x:v>ready</x:v>
      </x:c>
    </x:row>
    <x:row r="312" ht="44" customHeight="1">
      <x:c r="A312" s="10" t="str">
        <x:v>FMS1239__principal_evidence</x:v>
      </x:c>
      <x:c r="B312" s="11" t="str">
        <x:v>FMS1239</x:v>
      </x:c>
      <x:c r="C312" s="11" t="str">
        <x:v>final_multisource_132</x:v>
      </x:c>
      <x:c r="D312" s="11" t="str">
        <x:v>SEC-bench Pro: Can Language Models Solve Long-Horizon Software Security Tasks?</x:v>
      </x:c>
      <x:c r="E312" s="11" t="str">
        <x:v>principal reported evidence output</x:v>
      </x:c>
      <x:c r="F312" s="11" t="str">
        <x:v>single-label</x:v>
      </x:c>
      <x:c r="G312" s="11" t="str">
        <x:v>reproducible validation</x:v>
      </x:c>
      <x:c r="H312" s="11" t="str">
        <x:v>controlled task completion</x:v>
      </x:c>
      <x:c r="I312" s="11" t="str">
        <x:v>source-linked lead</x:v>
      </x:c>
      <x:c r="J312" s="11" t="str">
        <x:v>https://arxiv.org/pdf/2605.26548 | role p.3; action p.1; feedback p.1; validation p.1; evaluation p.1</x:v>
      </x:c>
      <x:c r="K312" s="11" t="str">
        <x:v>e auditing. Although an entire codebase to produce a working proof-of-concept (PoC). researchers have recently constructed multiple benchmarks However, such critical security problems remain understudied in existing literature. In this paper, we present SEC-bench Pro, based on real-world CVE or vulnerability instances [21, 22, 26,</x:v>
      </x:c>
      <x:c r="L312" s="16" t="str">
        <x:v>A source-linked excerpt and locator are supplied as review leads for auditability.</x:v>
      </x:c>
      <x:c r="M312" s="16" t="str">
        <x:v>Select the observable result most directly supporting the main finding. Benchmark ground truth or aggregate CVE counts do not automatically establish externally traceable material.</x:v>
      </x:c>
      <x:c r="N312" s="16" t="str">
        <x:v>reproducible validation</x:v>
      </x:c>
      <x:c r="O312" s="16" t="str">
        <x:v>The cited source supports the selected label reproducible validation as the main observable result reported for the study.</x:v>
      </x:c>
      <x:c r="P312" s="16" t="str">
        <x:v>https://arxiv.org/pdf/2605.26548 | role p.3; action p.1; feedback p.1; validation p.1; evaluation p.1</x:v>
      </x:c>
      <x:c r="Q312" s="16" t="str">
        <x:v>no</x:v>
      </x:c>
      <x:c r="R312" s="11" t="str"/>
      <x:c r="S312" s="11" t="str">
        <x:v>2026-08-12</x:v>
      </x:c>
      <x:c r="T312" s="18" t="str">
        <x:f>IF(OR(AND(N312="unresolved",LEN(O312)&gt;0,LEN(P312)&gt;0,Q312="yes"),AND(LEN(N312)&gt;0,LEN(O312)&gt;0,LEN(P312)&gt;0,OR(Q312="yes",Q312="no"))),"ready","pending")</x:f>
        <x:v>ready</x:v>
      </x:c>
    </x:row>
    <x:row r="313" ht="44" customHeight="1">
      <x:c r="A313" s="10" t="str">
        <x:v>FMS1261__capability</x:v>
      </x:c>
      <x:c r="B313" s="11" t="str">
        <x:v>FMS1261</x:v>
      </x:c>
      <x:c r="C313" s="11" t="str">
        <x:v>final_multisource_132</x:v>
      </x:c>
      <x:c r="D313" s="11" t="str">
        <x:v>SecureFixAgent: A Hybrid LLM Agent for Automated Python Static Vulnerability Repair</x:v>
      </x:c>
      <x:c r="E313" s="11" t="str">
        <x:v>cross-stage capability</x:v>
      </x:c>
      <x:c r="F313" s="11" t="str">
        <x:v>multi-label</x:v>
      </x:c>
      <x:c r="G313" s="11" t="str">
        <x:v>context aggregation / rule extraction;failure reuse / strategy update;feedback interpretation / loop adjustment;validation organization / evidence packaging</x:v>
      </x:c>
      <x:c r="H313" s="11" t="str">
        <x:v>context aggregation / rule extraction;feedback interpretation / loop adjustment;tool routing / strategy routing;validation organization / evidence packaging</x:v>
      </x:c>
      <x:c r="I313" s="11" t="str">
        <x:v>source-linked lead</x:v>
      </x:c>
      <x:c r="J313" s="11" t="str">
        <x:v>https://arxiv.org/pdf/2509.16275 | role p.1; action p.1; feedback p.1; validation p.1; evaluation p.1</x:v>
      </x:c>
      <x:c r="K313" s="11" t="str">
        <x:v>thin three GitHub Copilot have begun experimenting with vulnerability- iterations. Beyond metrics, developer studies rate explanation aware suggestions and automated repairs [5], reflecting the quality 4.5/5, highlighting its value for human trust and adoption. growing commercial interest in this domain. However, LLM- By combining verifiable s</x:v>
      </x:c>
      <x:c r="L313" s="16" t="str">
        <x:v>A source-linked excerpt and locator are supplied as review leads for auditability.</x:v>
      </x:c>
      <x:c r="M313" s="16" t="str">
        <x:v>Require an explicit cross-stage connection. Information must guide later action; feedback must alter later action; packaging must assemble prior outputs; governance must enforce an actual gate.</x:v>
      </x:c>
      <x:c r="N313" s="16" t="str">
        <x:v>context aggregation / rule extraction;feedback interpretation / loop adjustment;validation organization / evidence packaging;failure reuse / strategy update</x:v>
      </x:c>
      <x:c r="O313" s="16" t="str">
        <x:v>The cited source supports the selected label context aggregation / rule extraction;feedback interpretation / loop adjustment;validation organization / evidence packaging;failure reuse / strategy update; each retained label requires an explicit connection that guides later action, feedback, packaging, or a gate.</x:v>
      </x:c>
      <x:c r="P313" s="16" t="str">
        <x:v>https://arxiv.org/pdf/2509.16275 | role p.1; action p.1; feedback p.1; validation p.1; evaluation p.1</x:v>
      </x:c>
      <x:c r="Q313" s="16" t="str">
        <x:v>no</x:v>
      </x:c>
      <x:c r="R313" s="11" t="str"/>
      <x:c r="S313" s="11" t="str">
        <x:v>2026-08-12</x:v>
      </x:c>
      <x:c r="T313" s="18" t="str">
        <x:f>IF(OR(AND(N313="unresolved",LEN(O313)&gt;0,LEN(P313)&gt;0,Q313="yes"),AND(LEN(N313)&gt;0,LEN(O313)&gt;0,LEN(P313)&gt;0,OR(Q313="yes",Q313="no"))),"ready","pending")</x:f>
        <x:v>ready</x:v>
      </x:c>
    </x:row>
    <x:row r="314" ht="44" customHeight="1">
      <x:c r="A314" s="10" t="str">
        <x:v>FMS1261__principal_evidence</x:v>
      </x:c>
      <x:c r="B314" s="11" t="str">
        <x:v>FMS1261</x:v>
      </x:c>
      <x:c r="C314" s="11" t="str">
        <x:v>final_multisource_132</x:v>
      </x:c>
      <x:c r="D314" s="11" t="str">
        <x:v>SecureFixAgent: A Hybrid LLM Agent for Automated Python Static Vulnerability Repair</x:v>
      </x:c>
      <x:c r="E314" s="11" t="str">
        <x:v>principal reported evidence output</x:v>
      </x:c>
      <x:c r="F314" s="11" t="str">
        <x:v>single-label</x:v>
      </x:c>
      <x:c r="G314" s="11" t="str">
        <x:v>reproducible validation</x:v>
      </x:c>
      <x:c r="H314" s="11" t="str">
        <x:v>candidate judgment</x:v>
      </x:c>
      <x:c r="I314" s="11" t="str">
        <x:v>source-linked lead</x:v>
      </x:c>
      <x:c r="J314" s="11" t="str">
        <x:v>https://arxiv.org/pdf/2509.16275 | role p.1; action p.1; feedback p.1; validation p.1; evaluation p.1</x:v>
      </x:c>
      <x:c r="K314" s="11" t="str">
        <x:v>classes of vulnerabilities. However, static analyzers suffer from lack self-validation. We present SecureFixAgent, a hybrid repair notable drawbacks: they tend to generate high false-positive framework integrating Bandit with lightweight local LLMs rates, burdening developers with unnecessary manual triage, (&lt;8B parameters) in an iterati</x:v>
      </x:c>
      <x:c r="L314" s="16" t="str">
        <x:v>A source-linked excerpt and locator are supplied as review leads for auditability.</x:v>
      </x:c>
      <x:c r="M314" s="16" t="str">
        <x:v>Select the observable result most directly supporting the main finding. Benchmark ground truth or aggregate CVE counts do not automatically establish externally traceable material.</x:v>
      </x:c>
      <x:c r="N314" s="16" t="str">
        <x:v>reproducible validation</x:v>
      </x:c>
      <x:c r="O314" s="16" t="str">
        <x:v>The cited source supports the selected label reproducible validation as the main observable result reported for the study.</x:v>
      </x:c>
      <x:c r="P314" s="16" t="str">
        <x:v>https://arxiv.org/pdf/2509.16275 | role p.1; action p.1; feedback p.1; validation p.1; evaluation p.1</x:v>
      </x:c>
      <x:c r="Q314" s="16" t="str">
        <x:v>no</x:v>
      </x:c>
      <x:c r="R314" s="11" t="str"/>
      <x:c r="S314" s="11" t="str">
        <x:v>2026-08-12</x:v>
      </x:c>
      <x:c r="T314" s="18" t="str">
        <x:f>IF(OR(AND(N314="unresolved",LEN(O314)&gt;0,LEN(P314)&gt;0,Q314="yes"),AND(LEN(N314)&gt;0,LEN(O314)&gt;0,LEN(P314)&gt;0,OR(Q314="yes",Q314="no"))),"ready","pending")</x:f>
        <x:v>ready</x:v>
      </x:c>
    </x:row>
    <x:row r="315" ht="44" customHeight="1">
      <x:c r="A315" s="10" t="str">
        <x:v>FMS1261__external_traceability</x:v>
      </x:c>
      <x:c r="B315" s="11" t="str">
        <x:v>FMS1261</x:v>
      </x:c>
      <x:c r="C315" s="11" t="str">
        <x:v>final_multisource_132</x:v>
      </x:c>
      <x:c r="D315" s="11" t="str">
        <x:v>SecureFixAgent: A Hybrid LLM Agent for Automated Python Static Vulnerability Repair</x:v>
      </x:c>
      <x:c r="E315" s="11" t="str">
        <x:v>external traceability</x:v>
      </x:c>
      <x:c r="F315" s="11" t="str">
        <x:v>single-label</x:v>
      </x:c>
      <x:c r="G315" s="11" t="str">
        <x:v>benchmark ground truth / public material</x:v>
      </x:c>
      <x:c r="H315" s="11" t="str">
        <x:v>no external trace reported</x:v>
      </x:c>
      <x:c r="I315" s="11" t="str">
        <x:v>source-linked lead</x:v>
      </x:c>
      <x:c r="J315" s="11" t="str">
        <x:v>https://arxiv.org/pdf/2509.16275 | role p.1; action p.1; feedback p.1; validation p.1; evaluation p.1</x:v>
      </x:c>
      <x:c r="K315" s="11" t="str">
        <x:v>promise in automating code repair. Code-specialized and reduce cloud reliance. Experiments show SecureFixAgent reduces false positives by 10.8% over static analysis, improves LLMs can analyze vulnerable snippets, reason about flaws, fix accuracy by 13.51%, and lowers false positives by 5.46% and generate candidate fixes [18]. Industry tools such as</x:v>
      </x:c>
      <x:c r="L315" s="16" t="str">
        <x:v>A source-linked excerpt and locator are supplied as review leads for auditability.</x:v>
      </x:c>
      <x:c r="M315" s="16" t="str">
        <x:v>Code separately from principal output. Only item-level alignment between a concrete system result and a specific public external record qualifies as publicly aligned external trace.</x:v>
      </x:c>
      <x:c r="N315" s="16" t="str">
        <x:v>benchmark ground truth / public material</x:v>
      </x:c>
      <x:c r="O315" s="16" t="str">
        <x:v>The cited source supports the selected label benchmark ground truth / public material under the codebook's item-level public-record alignment criterion.</x:v>
      </x:c>
      <x:c r="P315" s="16" t="str">
        <x:v>https://arxiv.org/pdf/2509.16275 | role p.1; action p.1; feedback p.1; validation p.1; evaluation p.1</x:v>
      </x:c>
      <x:c r="Q315" s="16" t="str">
        <x:v>no</x:v>
      </x:c>
      <x:c r="R315" s="11" t="str"/>
      <x:c r="S315" s="11" t="str">
        <x:v>2026-08-12</x:v>
      </x:c>
      <x:c r="T315" s="18" t="str">
        <x:f>IF(OR(AND(N315="unresolved",LEN(O315)&gt;0,LEN(P315)&gt;0,Q315="yes"),AND(LEN(N315)&gt;0,LEN(O315)&gt;0,LEN(P315)&gt;0,OR(Q315="yes",Q315="no"))),"ready","pending")</x:f>
        <x:v>ready</x:v>
      </x:c>
    </x:row>
    <x:row r="316" ht="44" customHeight="1">
      <x:c r="A316" s="10" t="str">
        <x:v>FMS1275__lifecycle</x:v>
      </x:c>
      <x:c r="B316" s="11" t="str">
        <x:v>FMS1275</x:v>
      </x:c>
      <x:c r="C316" s="11" t="str">
        <x:v>final_multisource_132</x:v>
      </x:c>
      <x:c r="D316" s="11" t="str">
        <x:v>Securing LLM-Generated Embedded Firmware through AI Agent-Driven Validation and Patching</x:v>
      </x:c>
      <x:c r="E316" s="11" t="str">
        <x:v>lifecycle coverage</x:v>
      </x:c>
      <x:c r="F316" s="11" t="str">
        <x:v>multi-label</x:v>
      </x:c>
      <x:c r="G316" s="11" t="str">
        <x:v>candidate analysis;execution observation;patch validation</x:v>
      </x:c>
      <x:c r="H316" s="11" t="str">
        <x:v>candidate analysis;execution observation;patch validation;reproduction and validation</x:v>
      </x:c>
      <x:c r="I316" s="11" t="str">
        <x:v>source-linked lead</x:v>
      </x:c>
      <x:c r="J316" s="11" t="str">
        <x:v>https://arxiv.org/pdf/2509.09970 | role p.1; action p.1; feedback p.1; validation p.1; evaluation p.1</x:v>
      </x:c>
      <x:c r="K316" s="11" t="str">
        <x:v>Securing LLM-Generated Embedded Firmware through AI Agent-Driven Validation and Patching</x:v>
      </x:c>
      <x:c r="L316" s="16" t="str">
        <x:v>A source-linked excerpt and locator are supplied as review leads for auditability.</x:v>
      </x:c>
      <x:c r="M316" s="16" t="str">
        <x:v>Mark only observable lifecycle actions or outputs. Reporting and audit requires explicit packaging, routing, disclosure, or audit transition; a report name alone is insufficient.</x:v>
      </x:c>
      <x:c r="N316" s="16" t="str">
        <x:v>candidate analysis;execution observation;patch validation</x:v>
      </x:c>
      <x:c r="O316" s="16" t="str">
        <x:v>The cited source supports the selected label candidate analysis;execution observation;patch validation; only observable workflow actions or outputs were retained.</x:v>
      </x:c>
      <x:c r="P316" s="16" t="str">
        <x:v>https://arxiv.org/pdf/2509.09970 | role p.1; action p.1; feedback p.1; validation p.1; evaluation p.1</x:v>
      </x:c>
      <x:c r="Q316" s="16" t="str">
        <x:v>no</x:v>
      </x:c>
      <x:c r="R316" s="11" t="str"/>
      <x:c r="S316" s="11" t="str">
        <x:v>2026-08-12</x:v>
      </x:c>
      <x:c r="T316" s="18" t="str">
        <x:f>IF(OR(AND(N316="unresolved",LEN(O316)&gt;0,LEN(P316)&gt;0,Q316="yes"),AND(LEN(N316)&gt;0,LEN(O316)&gt;0,LEN(P316)&gt;0,OR(Q316="yes",Q316="no"))),"ready","pending")</x:f>
        <x:v>ready</x:v>
      </x:c>
    </x:row>
    <x:row r="317" ht="44" customHeight="1">
      <x:c r="A317" s="10" t="str">
        <x:v>FMS1275__capability</x:v>
      </x:c>
      <x:c r="B317" s="11" t="str">
        <x:v>FMS1275</x:v>
      </x:c>
      <x:c r="C317" s="11" t="str">
        <x:v>final_multisource_132</x:v>
      </x:c>
      <x:c r="D317" s="11" t="str">
        <x:v>Securing LLM-Generated Embedded Firmware through AI Agent-Driven Validation and Patching</x:v>
      </x:c>
      <x:c r="E317" s="11" t="str">
        <x:v>cross-stage capability</x:v>
      </x:c>
      <x:c r="F317" s="11" t="str">
        <x:v>multi-label</x:v>
      </x:c>
      <x:c r="G317" s="11" t="str">
        <x:v>context aggregation / rule extraction;failure reuse / strategy update;feedback interpretation / loop adjustment;tool routing / strategy routing;validation organization / evidence packaging</x:v>
      </x:c>
      <x:c r="H317" s="11" t="str">
        <x:v>context aggregation / rule extraction;feedback interpretation / loop adjustment;tool routing / strategy routing;validation organization / evidence packaging</x:v>
      </x:c>
      <x:c r="I317" s="11" t="str">
        <x:v>source-linked lead</x:v>
      </x:c>
      <x:c r="J317" s="11" t="str">
        <x:v>https://arxiv.org/pdf/2509.09970 | role p.1; action p.1; feedback p.1; validation p.1; evaluation p.1</x:v>
      </x:c>
      <x:c r="K317" s="11" t="str">
        <x:v>security flaws and fail to meet real-time performance constraints. including coverage-guided approaches like AFL++ [9] and This paper proposes a three-phase methodology that combines LLM-based firmware generation with automated security valida- Syzkaller [10], excel at identifying conventional software tion and it</x:v>
      </x:c>
      <x:c r="L317" s="16" t="str">
        <x:v>A source-linked excerpt and locator are supplied as review leads for auditability.</x:v>
      </x:c>
      <x:c r="M317" s="16" t="str">
        <x:v>Require an explicit cross-stage connection. Information must guide later action; feedback must alter later action; packaging must assemble prior outputs; governance must enforce an actual gate.</x:v>
      </x:c>
      <x:c r="N317" s="16" t="str">
        <x:v>context aggregation / rule extraction;tool routing / strategy routing;feedback interpretation / loop adjustment;validation organization / evidence packaging;failure reuse / strategy update</x:v>
      </x:c>
      <x:c r="O317"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317" s="16" t="str">
        <x:v>https://arxiv.org/pdf/2509.09970 | role p.1; action p.1; feedback p.1; validation p.1; evaluation p.1</x:v>
      </x:c>
      <x:c r="Q317" s="16" t="str">
        <x:v>no</x:v>
      </x:c>
      <x:c r="R317" s="11" t="str"/>
      <x:c r="S317" s="11" t="str">
        <x:v>2026-08-12</x:v>
      </x:c>
      <x:c r="T317" s="18" t="str">
        <x:f>IF(OR(AND(N317="unresolved",LEN(O317)&gt;0,LEN(P317)&gt;0,Q317="yes"),AND(LEN(N317)&gt;0,LEN(O317)&gt;0,LEN(P317)&gt;0,OR(Q317="yes",Q317="no"))),"ready","pending")</x:f>
        <x:v>ready</x:v>
      </x:c>
    </x:row>
    <x:row r="318" ht="44" customHeight="1">
      <x:c r="A318" s="10" t="str">
        <x:v>FMS1279__capability</x:v>
      </x:c>
      <x:c r="B318" s="11" t="str">
        <x:v>FMS1279</x:v>
      </x:c>
      <x:c r="C318" s="11" t="str">
        <x:v>final_multisource_132</x:v>
      </x:c>
      <x:c r="D318" s="11" t="str">
        <x:v>Securing Smart Contract Languages with a Unified Agentic Framework for Vulnerability Repair in Solidity and Move</x:v>
      </x:c>
      <x:c r="E318" s="11" t="str">
        <x:v>cross-stage capability</x:v>
      </x:c>
      <x:c r="F318" s="11" t="str">
        <x:v>multi-label</x:v>
      </x:c>
      <x:c r="G318" s="11" t="str">
        <x:v>context aggregation / rule extraction;failure reuse / strategy update;feedback interpretation / loop adjustment;long-horizon state management;tool routing / strategy routing;validation organization / evidence packaging</x:v>
      </x:c>
      <x:c r="H318" s="11" t="str">
        <x:v>context aggregation / rule extraction;feedback interpretation / loop adjustment;tool routing / strategy routing;validation organization / evidence packaging</x:v>
      </x:c>
      <x:c r="I318" s="11" t="str">
        <x:v>source-linked lead</x:v>
      </x:c>
      <x:c r="J318" s="11" t="str">
        <x:v>https://arxiv.org/pdf/2502.18515 | role p.1; action p.1; feedback p.2; validation p.2; evaluation p.1</x:v>
      </x:c>
      <x:c r="K318" s="11" t="str">
        <x:v>-edge features, including a custom data type for secure operations, robust access controls via Move modules, and unique memory safety features Blackshear et al. (2022), have been particularly noteworthy. Moreover, the Move Prover, a native security framework, provides an additional layer of protection Dill et al. (2022). Notably, several prominent blockchain platforms, such as Starcoin sta (2024), Aptos Dev, and Sui Blackshear et al. (2024), have already adopted Move. However, desp</x:v>
      </x:c>
      <x:c r="L318" s="16" t="str">
        <x:v>A source-linked excerpt and locator are supplied as review leads for auditability.</x:v>
      </x:c>
      <x:c r="M318" s="16" t="str">
        <x:v>Require an explicit cross-stage connection. Information must guide later action; feedback must alter later action; packaging must assemble prior outputs; governance must enforce an actual gate.</x:v>
      </x:c>
      <x:c r="N318" s="16" t="str">
        <x:v>context aggregation / rule extraction;tool routing / strategy routing;feedback interpretation / loop adjustment;validation organization / evidence packaging;long-horizon state management;failure reuse / strategy update</x:v>
      </x:c>
      <x:c r="O318"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318" s="16" t="str">
        <x:v>https://arxiv.org/pdf/2502.18515 | role p.1; action p.1; feedback p.2; validation p.2; evaluation p.1</x:v>
      </x:c>
      <x:c r="Q318" s="16" t="str">
        <x:v>no</x:v>
      </x:c>
      <x:c r="R318" s="11" t="str"/>
      <x:c r="S318" s="11" t="str">
        <x:v>2026-08-12</x:v>
      </x:c>
      <x:c r="T318" s="18" t="str">
        <x:f>IF(OR(AND(N318="unresolved",LEN(O318)&gt;0,LEN(P318)&gt;0,Q318="yes"),AND(LEN(N318)&gt;0,LEN(O318)&gt;0,LEN(P318)&gt;0,OR(Q318="yes",Q318="no"))),"ready","pending")</x:f>
        <x:v>ready</x:v>
      </x:c>
    </x:row>
    <x:row r="319" ht="44" customHeight="1">
      <x:c r="A319" s="10" t="str">
        <x:v>FMS1279__principal_evidence</x:v>
      </x:c>
      <x:c r="B319" s="11" t="str">
        <x:v>FMS1279</x:v>
      </x:c>
      <x:c r="C319" s="11" t="str">
        <x:v>final_multisource_132</x:v>
      </x:c>
      <x:c r="D319" s="11" t="str">
        <x:v>Securing Smart Contract Languages with a Unified Agentic Framework for Vulnerability Repair in Solidity and Move</x:v>
      </x:c>
      <x:c r="E319" s="11" t="str">
        <x:v>principal reported evidence output</x:v>
      </x:c>
      <x:c r="F319" s="11" t="str">
        <x:v>single-label</x:v>
      </x:c>
      <x:c r="G319" s="11" t="str">
        <x:v>reproducible validation</x:v>
      </x:c>
      <x:c r="H319" s="11" t="str">
        <x:v>candidate judgment</x:v>
      </x:c>
      <x:c r="I319" s="11" t="str">
        <x:v>source-linked lead</x:v>
      </x:c>
      <x:c r="J319" s="11" t="str">
        <x:v>https://arxiv.org/pdf/2502.18515 | role p.1; action p.1; feedback p.2; validation p.2; evaluation p.1</x:v>
      </x:c>
      <x:c r="K319" s="11" t="str">
        <x:v>fy’s novelty lies in its process-centric design, where specialized agents (Auditor, Architect, Code Generator, Refiner, Validator) assume distinct roles within a delegative and iterative workflow. The Architect agent, for instance, does not simply reason about the next step; it formulates a comprehensive repair strategy that is then executed by other agents. Crucially, the Refiner-Validator duo establishes a feedback loop for iterative quality assurance, a feature essential for gene</x:v>
      </x:c>
      <x:c r="L319" s="16" t="str">
        <x:v>A source-linked excerpt and locator are supplied as review leads for auditability.</x:v>
      </x:c>
      <x:c r="M319" s="16" t="str">
        <x:v>Select the observable result most directly supporting the main finding. Benchmark ground truth or aggregate CVE counts do not automatically establish externally traceable material.</x:v>
      </x:c>
      <x:c r="N319" s="16" t="str">
        <x:v>reproducible validation</x:v>
      </x:c>
      <x:c r="O319" s="16" t="str">
        <x:v>The cited source supports the selected label reproducible validation as the main observable result reported for the study.</x:v>
      </x:c>
      <x:c r="P319" s="16" t="str">
        <x:v>https://arxiv.org/pdf/2502.18515 | role p.1; action p.1; feedback p.2; validation p.2; evaluation p.1</x:v>
      </x:c>
      <x:c r="Q319" s="16" t="str">
        <x:v>no</x:v>
      </x:c>
      <x:c r="R319" s="11" t="str"/>
      <x:c r="S319" s="11" t="str">
        <x:v>2026-08-12</x:v>
      </x:c>
      <x:c r="T319" s="18" t="str">
        <x:f>IF(OR(AND(N319="unresolved",LEN(O319)&gt;0,LEN(P319)&gt;0,Q319="yes"),AND(LEN(N319)&gt;0,LEN(O319)&gt;0,LEN(P319)&gt;0,OR(Q319="yes",Q319="no"))),"ready","pending")</x:f>
        <x:v>ready</x:v>
      </x:c>
    </x:row>
    <x:row r="320" ht="44" customHeight="1">
      <x:c r="A320" s="10" t="str">
        <x:v>FMS1338__lifecycle</x:v>
      </x:c>
      <x:c r="B320" s="11" t="str">
        <x:v>FMS1338</x:v>
      </x:c>
      <x:c r="C320" s="11" t="str">
        <x:v>final_multisource_132</x:v>
      </x:c>
      <x:c r="D320" s="11" t="str">
        <x:v>Sifting the Noise: A Comparative Study of LLM Agents in Vulnerability False Positive Filtering</x:v>
      </x:c>
      <x:c r="E320" s="11" t="str">
        <x:v>lifecycle coverage</x:v>
      </x:c>
      <x:c r="F320" s="11" t="str">
        <x:v>multi-label</x:v>
      </x:c>
      <x:c r="G320" s="11" t="str">
        <x:v>candidate analysis</x:v>
      </x:c>
      <x:c r="H320" s="11" t="str">
        <x:v>candidate analysis;reporting and audit</x:v>
      </x:c>
      <x:c r="I320" s="11" t="str">
        <x:v>source-linked lead</x:v>
      </x:c>
      <x:c r="J320" s="11" t="str">
        <x:v>https://arxiv.org/pdf/2601.22952 | role p.1; action p.1; feedback p.2; validation p.2; evaluation p.1</x:v>
      </x:c>
      <x:c r="K320" s="11" t="str">
        <x:v>ing a substantial manual triage burden on developers. Recent advances in Large Language Model (LLM) agents offer a promising direction by enabling iterative reasoning, tool use, and environment interaction to refine SAST alerts. However, the comparative</x:v>
      </x:c>
      <x:c r="L320" s="16" t="str">
        <x:v>A source-linked excerpt and locator are supplied as review leads for auditability.</x:v>
      </x:c>
      <x:c r="M320" s="16" t="str">
        <x:v>Mark only observable lifecycle actions or outputs. Reporting and audit requires explicit packaging, routing, disclosure, or audit transition; a report name alone is insufficient.</x:v>
      </x:c>
      <x:c r="N320" s="16" t="str">
        <x:v>candidate analysis</x:v>
      </x:c>
      <x:c r="O320" s="16" t="str">
        <x:v>The cited source supports the selected label candidate analysis; only observable workflow actions or outputs were retained.</x:v>
      </x:c>
      <x:c r="P320" s="16" t="str">
        <x:v>https://arxiv.org/pdf/2601.22952 | role p.1; action p.1; feedback p.2; validation p.2; evaluation p.1</x:v>
      </x:c>
      <x:c r="Q320" s="16" t="str">
        <x:v>no</x:v>
      </x:c>
      <x:c r="R320" s="11" t="str"/>
      <x:c r="S320" s="11" t="str">
        <x:v>2026-08-12</x:v>
      </x:c>
      <x:c r="T320" s="18" t="str">
        <x:f>IF(OR(AND(N320="unresolved",LEN(O320)&gt;0,LEN(P320)&gt;0,Q320="yes"),AND(LEN(N320)&gt;0,LEN(O320)&gt;0,LEN(P320)&gt;0,OR(Q320="yes",Q320="no"))),"ready","pending")</x:f>
        <x:v>ready</x:v>
      </x:c>
    </x:row>
    <x:row r="321" ht="44" customHeight="1">
      <x:c r="A321" s="10" t="str">
        <x:v>FMS1338__capability</x:v>
      </x:c>
      <x:c r="B321" s="11" t="str">
        <x:v>FMS1338</x:v>
      </x:c>
      <x:c r="C321" s="11" t="str">
        <x:v>final_multisource_132</x:v>
      </x:c>
      <x:c r="D321" s="11" t="str">
        <x:v>Sifting the Noise: A Comparative Study of LLM Agents in Vulnerability False Positive Filtering</x:v>
      </x:c>
      <x:c r="E321" s="11" t="str">
        <x:v>cross-stage capability</x:v>
      </x:c>
      <x:c r="F321" s="11" t="str">
        <x:v>multi-label</x:v>
      </x:c>
      <x:c r="G321" s="11" t="str">
        <x:v>context aggregation / rule extraction;feedback interpretation / loop adjustment;long-horizon state management;tool routing / strategy routing</x:v>
      </x:c>
      <x:c r="H321" s="11" t="str">
        <x:v>context aggregation / rule extraction;tool routing / strategy routing;validation organization / evidence packaging</x:v>
      </x:c>
      <x:c r="I321" s="11" t="str">
        <x:v>source-linked lead</x:v>
      </x:c>
      <x:c r="J321" s="11" t="str">
        <x:v>https://arxiv.org/pdf/2601.22952 | role p.1; action p.1; feedback p.2; validation p.2; evaluation p.1</x:v>
      </x:c>
      <x:c r="K321" s="11" t="str">
        <x:v>a verdict in a single pass [16, 55]. Such approaches cannot actively explore codebases, gather additional evidence, or iteratively refine responses, in contrast to agentic frameworks that can interact with environments and tools [54, 56, 57]. However, these abilities are often essential for accurately assessing whether a reported vulnerability is real or an FP, especially in the presence of complex control flow or object-level semantics[35, 41, 55]. Our insights. LLM-based agents ha</x:v>
      </x:c>
      <x:c r="L321" s="16" t="str">
        <x:v>A source-linked excerpt and locator are supplied as review leads for auditability.</x:v>
      </x:c>
      <x:c r="M321" s="16" t="str">
        <x:v>Require an explicit cross-stage connection. Information must guide later action; feedback must alter later action; packaging must assemble prior outputs; governance must enforce an actual gate.</x:v>
      </x:c>
      <x:c r="N321" s="16" t="str">
        <x:v>context aggregation / rule extraction;tool routing / strategy routing;feedback interpretation / loop adjustment;long-horizon state management</x:v>
      </x:c>
      <x:c r="O321"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321" s="16" t="str">
        <x:v>https://arxiv.org/pdf/2601.22952 | role p.1; action p.1; feedback p.2; validation p.2; evaluation p.1</x:v>
      </x:c>
      <x:c r="Q321" s="16" t="str">
        <x:v>no</x:v>
      </x:c>
      <x:c r="R321" s="11" t="str"/>
      <x:c r="S321" s="11" t="str">
        <x:v>2026-08-12</x:v>
      </x:c>
      <x:c r="T321" s="18" t="str">
        <x:f>IF(OR(AND(N321="unresolved",LEN(O321)&gt;0,LEN(P321)&gt;0,Q321="yes"),AND(LEN(N321)&gt;0,LEN(O321)&gt;0,LEN(P321)&gt;0,OR(Q321="yes",Q321="no"))),"ready","pending")</x:f>
        <x:v>ready</x:v>
      </x:c>
    </x:row>
    <x:row r="322" ht="44" customHeight="1">
      <x:c r="A322" s="10" t="str">
        <x:v>FMS1492__lifecycle</x:v>
      </x:c>
      <x:c r="B322" s="11" t="str">
        <x:v>FMS1492</x:v>
      </x:c>
      <x:c r="C322" s="11" t="str">
        <x:v>final_multisource_132</x:v>
      </x:c>
      <x:c r="D322" s="11" t="str">
        <x:v>Towards Effective Offensive Security LLM Agents: Hyperparameter Tuning, LLM as a Judge, and a Lightweight CTF Benchmark</x:v>
      </x:c>
      <x:c r="E322" s="11" t="str">
        <x:v>lifecycle coverage</x:v>
      </x:c>
      <x:c r="F322" s="11" t="str">
        <x:v>multi-label</x:v>
      </x:c>
      <x:c r="G322" s="11" t="str">
        <x:v>candidate analysis;execution observation;path and input exploration;reproduction and validation</x:v>
      </x:c>
      <x:c r="H322" s="11" t="str">
        <x:v>candidate analysis;execution observation;path and input exploration;reporting and audit</x:v>
      </x:c>
      <x:c r="I322" s="11" t="str">
        <x:v>source-linked lead</x:v>
      </x:c>
      <x:c r="J322" s="11" t="str">
        <x:v>https://arxiv.org/pdf/2508.05674 | role p.1; action p.1; feedback p.1; validation p.2; evaluation p.1</x:v>
      </x:c>
      <x:c r="K322" s="11" t="str">
        <x:v>detailed recipe for building effective LLM-based offensive security agents. First, we present CTFJudge, a framework leveraging LLM as a judge to analyze agent trajectories and provide granular evaluation across CTF solving steps</x:v>
      </x:c>
      <x:c r="L322" s="16" t="str">
        <x:v>A source-linked excerpt and locator are supplied as review leads for auditability.</x:v>
      </x:c>
      <x:c r="M322" s="16" t="str">
        <x:v>Mark only observable lifecycle actions or outputs. Reporting and audit requires explicit packaging, routing, disclosure, or audit transition; a report name alone is insufficient.</x:v>
      </x:c>
      <x:c r="N322" s="16" t="str">
        <x:v>candidate analysis;path and input exploration;execution observation;reproduction and validation</x:v>
      </x:c>
      <x:c r="O322" s="16" t="str">
        <x:v>The cited source supports the selected label candidate analysis;path and input exploration;execution observation;reproduction and validation; only observable workflow actions or outputs were retained.</x:v>
      </x:c>
      <x:c r="P322" s="16" t="str">
        <x:v>https://arxiv.org/pdf/2508.05674 | role p.1; action p.1; feedback p.1; validation p.2; evaluation p.1</x:v>
      </x:c>
      <x:c r="Q322" s="16" t="str">
        <x:v>no</x:v>
      </x:c>
      <x:c r="R322" s="11" t="str"/>
      <x:c r="S322" s="11" t="str">
        <x:v>2026-08-12</x:v>
      </x:c>
      <x:c r="T322" s="18" t="str">
        <x:f>IF(OR(AND(N322="unresolved",LEN(O322)&gt;0,LEN(P322)&gt;0,Q322="yes"),AND(LEN(N322)&gt;0,LEN(O322)&gt;0,LEN(P322)&gt;0,OR(Q322="yes",Q322="no"))),"ready","pending")</x:f>
        <x:v>ready</x:v>
      </x:c>
    </x:row>
    <x:row r="323" ht="44" customHeight="1">
      <x:c r="A323" s="10" t="str">
        <x:v>FMS1492__capability</x:v>
      </x:c>
      <x:c r="B323" s="11" t="str">
        <x:v>FMS1492</x:v>
      </x:c>
      <x:c r="C323" s="11" t="str">
        <x:v>final_multisource_132</x:v>
      </x:c>
      <x:c r="D323" s="11" t="str">
        <x:v>Towards Effective Offensive Security LLM Agents: Hyperparameter Tuning, LLM as a Judge, and a Lightweight CTF Benchmark</x:v>
      </x:c>
      <x:c r="E323" s="11" t="str">
        <x:v>cross-stage capability</x:v>
      </x:c>
      <x:c r="F323" s="11" t="str">
        <x:v>multi-label</x:v>
      </x:c>
      <x:c r="G323" s="11" t="str">
        <x:v>context aggregation / rule extraction;failure reuse / strategy update;feedback interpretation / loop adjustment;long-horizon state management;tool routing / strategy routing</x:v>
      </x:c>
      <x:c r="H323" s="11" t="str">
        <x:v>context aggregation / rule extraction;feedback interpretation / loop adjustment;long-horizon state management;tool routing / strategy routing;validation organization / evidence packaging</x:v>
      </x:c>
      <x:c r="I323" s="11" t="str">
        <x:v>source-linked lead</x:v>
      </x:c>
      <x:c r="J323" s="11" t="str">
        <x:v>https://arxiv.org/pdf/2508.05674 | role p.1; action p.1; feedback p.1; validation p.2; evaluation p.1</x:v>
      </x:c>
      <x:c r="K323" s="11" t="str">
        <x:v>ment of a new generation of autonomous AI agents capable of agents coordinate through planning, execution, and feedback planning, reasoning, and interacting with tools to solve com- to solve CTF problems (Udeshi et al. 2025). This human-like plex problems that were traditionally handled by human ex- division of responsibilities improves scalability and modu-</x:v>
      </x:c>
      <x:c r="L323" s="16" t="str">
        <x:v>A source-linked excerpt and locator are supplied as review leads for auditability.</x:v>
      </x:c>
      <x:c r="M323" s="16" t="str">
        <x:v>Require an explicit cross-stage connection. Information must guide later action; feedback must alter later action; packaging must assemble prior outputs; governance must enforce an actual gate.</x:v>
      </x:c>
      <x:c r="N323" s="16" t="str">
        <x:v>context aggregation / rule extraction;tool routing / strategy routing;feedback interpretation / loop adjustment;long-horizon state management;failure reuse / strategy update</x:v>
      </x:c>
      <x:c r="O323" s="16" t="str">
        <x:v>The cited source supports the selected label context aggregation / rule extraction;tool routing / strategy routing;feedback interpretation / loop adjustment;long-horizon state management;failure reuse / strategy update; each retained label requires an explicit connection that guides later action, feedback, packaging, or a gate.</x:v>
      </x:c>
      <x:c r="P323" s="16" t="str">
        <x:v>https://arxiv.org/pdf/2508.05674 | role p.1; action p.1; feedback p.1; validation p.2; evaluation p.1</x:v>
      </x:c>
      <x:c r="Q323" s="16" t="str">
        <x:v>no</x:v>
      </x:c>
      <x:c r="R323" s="11" t="str"/>
      <x:c r="S323" s="11" t="str">
        <x:v>2026-08-12</x:v>
      </x:c>
      <x:c r="T323" s="18" t="str">
        <x:f>IF(OR(AND(N323="unresolved",LEN(O323)&gt;0,LEN(P323)&gt;0,Q323="yes"),AND(LEN(N323)&gt;0,LEN(O323)&gt;0,LEN(P323)&gt;0,OR(Q323="yes",Q323="no"))),"ready","pending")</x:f>
        <x:v>ready</x:v>
      </x:c>
    </x:row>
    <x:row r="324" ht="44" customHeight="1">
      <x:c r="A324" s="10" t="str">
        <x:v>FMS1509__capability</x:v>
      </x:c>
      <x:c r="B324" s="11" t="str">
        <x:v>FMS1509</x:v>
      </x:c>
      <x:c r="C324" s="11" t="str">
        <x:v>final_multisource_132</x:v>
      </x:c>
      <x:c r="D324" s="11" t="str">
        <x:v>Trace: Securing Smart Contract Repository Against Access Control Vulnerability</x:v>
      </x:c>
      <x:c r="E324" s="11" t="str">
        <x:v>cross-stage capability</x:v>
      </x:c>
      <x:c r="F324" s="11" t="str">
        <x:v>multi-label</x:v>
      </x:c>
      <x:c r="G324" s="11" t="str">
        <x:v>context aggregation / rule extraction;feedback interpretation / loop adjustment;validation organization / evidence packaging</x:v>
      </x:c>
      <x:c r="H324" s="11" t="str">
        <x:v>context aggregation / rule extraction;long-horizon state management;tool routing / strategy routing;validation organization / evidence packaging</x:v>
      </x:c>
      <x:c r="I324" s="11" t="str">
        <x:v>source-linked lead</x:v>
      </x:c>
      <x:c r="J324" s="11" t="str">
        <x:v>https://arxiv.org/pdf/2510.19254 | role p.1; action p.1; feedback p.5; validation p.1; evaluation p.1</x:v>
      </x:c>
      <x:c r="K324" s="11" t="str">
        <x:v>mpleted code until it compiles success- a base function call graph (FCG), where each node includes fully iteratively. The prompt template for this process, referred only the function name, type, and visibility. to as P rompt2, is shown in Figure 5. Specifically, we provide Next, we use Slither [8] to analyze the contract and gener- the LLM with the completed contract and the associated ate the function-level control flow graph (</x:v>
      </x:c>
      <x:c r="L324" s="16" t="str">
        <x:v>A source-linked excerpt and locator are supplied as review leads for auditability.</x:v>
      </x:c>
      <x:c r="M324" s="16" t="str">
        <x:v>Require an explicit cross-stage connection. Information must guide later action; feedback must alter later action; packaging must assemble prior outputs; governance must enforce an actual gate.</x:v>
      </x:c>
      <x:c r="N324" s="16" t="str">
        <x:v>context aggregation / rule extraction;feedback interpretation / loop adjustment;validation organization / evidence packaging</x:v>
      </x:c>
      <x:c r="O324" s="16" t="str">
        <x:v>The cited source supports the selected label context aggregation / rule extraction;feedback interpretation / loop adjustment;validation organization / evidence packaging; each retained label requires an explicit connection that guides later action, feedback, packaging, or a gate.</x:v>
      </x:c>
      <x:c r="P324" s="16" t="str">
        <x:v>https://arxiv.org/pdf/2510.19254 | role p.1; action p.1; feedback p.5; validation p.1; evaluation p.1</x:v>
      </x:c>
      <x:c r="Q324" s="16" t="str">
        <x:v>no</x:v>
      </x:c>
      <x:c r="R324" s="11" t="str"/>
      <x:c r="S324" s="11" t="str">
        <x:v>2026-08-12</x:v>
      </x:c>
      <x:c r="T324" s="18" t="str">
        <x:f>IF(OR(AND(N324="unresolved",LEN(O324)&gt;0,LEN(P324)&gt;0,Q324="yes"),AND(LEN(N324)&gt;0,LEN(O324)&gt;0,LEN(P324)&gt;0,OR(Q324="yes",Q324="no"))),"ready","pending")</x:f>
        <x:v>ready</x:v>
      </x:c>
    </x:row>
    <x:row r="325" ht="44" customHeight="1">
      <x:c r="A325" s="10" t="str">
        <x:v>FMS1514__lifecycle</x:v>
      </x:c>
      <x:c r="B325" s="11" t="str">
        <x:v>FMS1514</x:v>
      </x:c>
      <x:c r="C325" s="11" t="str">
        <x:v>final_multisource_132</x:v>
      </x:c>
      <x:c r="D325" s="11" t="str">
        <x:v>Training Language Model Agents to Find Vulnerabilities with CTF-Dojo</x:v>
      </x:c>
      <x:c r="E325" s="11" t="str">
        <x:v>lifecycle coverage</x:v>
      </x:c>
      <x:c r="F325" s="11" t="str">
        <x:v>multi-label</x:v>
      </x:c>
      <x:c r="G325" s="11" t="str">
        <x:v>candidate analysis;execution observation;path and input exploration;reproduction and validation</x:v>
      </x:c>
      <x:c r="H325" s="11" t="str">
        <x:v>candidate analysis;execution observation;path and input exploration;reporting and audit</x:v>
      </x:c>
      <x:c r="I325" s="11" t="str">
        <x:v>source-linked lead</x:v>
      </x:c>
      <x:c r="J325" s="11" t="str">
        <x:v>https://arxiv.org/pdf/2508.18370 | role p.2; action p.1; feedback p.1; validation p.1; evaluation p.4</x:v>
      </x:c>
      <x:c r="K325" s="11" t="str">
        <x:v>hed CTF benchmarks. Through the extensive analysis, we identify three key findings for building effective cybersecurity agents: (1) writeups are crucial for training, particularly when working with data generated by weak models, (2) augmenting the runtime environment (e.g., server domains and flags) helps models yield more solve</x:v>
      </x:c>
      <x:c r="L325" s="16" t="str">
        <x:v>A source-linked excerpt and locator are supplied as review leads for auditability.</x:v>
      </x:c>
      <x:c r="M325" s="16" t="str">
        <x:v>Mark only observable lifecycle actions or outputs. Reporting and audit requires explicit packaging, routing, disclosure, or audit transition; a report name alone is insufficient.</x:v>
      </x:c>
      <x:c r="N325" s="16" t="str">
        <x:v>candidate analysis;path and input exploration;execution observation;reproduction and validation</x:v>
      </x:c>
      <x:c r="O325" s="16" t="str">
        <x:v>The cited source supports the selected label candidate analysis;path and input exploration;execution observation;reproduction and validation; only observable workflow actions or outputs were retained.</x:v>
      </x:c>
      <x:c r="P325" s="16" t="str">
        <x:v>https://arxiv.org/pdf/2508.18370 | role p.2; action p.1; feedback p.1; validation p.1; evaluation p.4</x:v>
      </x:c>
      <x:c r="Q325" s="16" t="str">
        <x:v>no</x:v>
      </x:c>
      <x:c r="R325" s="11" t="str"/>
      <x:c r="S325" s="11" t="str">
        <x:v>2026-08-12</x:v>
      </x:c>
      <x:c r="T325" s="18" t="str">
        <x:f>IF(OR(AND(N325="unresolved",LEN(O325)&gt;0,LEN(P325)&gt;0,Q325="yes"),AND(LEN(N325)&gt;0,LEN(O325)&gt;0,LEN(P325)&gt;0,OR(Q325="yes",Q325="no"))),"ready","pending")</x:f>
        <x:v>ready</x:v>
      </x:c>
    </x:row>
    <x:row r="326" ht="44" customHeight="1">
      <x:c r="A326" s="10" t="str">
        <x:v>FMS1514__capability</x:v>
      </x:c>
      <x:c r="B326" s="11" t="str">
        <x:v>FMS1514</x:v>
      </x:c>
      <x:c r="C326" s="11" t="str">
        <x:v>final_multisource_132</x:v>
      </x:c>
      <x:c r="D326" s="11" t="str">
        <x:v>Training Language Model Agents to Find Vulnerabilities with CTF-Dojo</x:v>
      </x:c>
      <x:c r="E326" s="11" t="str">
        <x:v>cross-stage capability</x:v>
      </x:c>
      <x:c r="F326" s="11" t="str">
        <x:v>multi-label</x:v>
      </x:c>
      <x:c r="G326" s="11" t="str">
        <x:v>context aggregation / rule extraction;failure reuse / strategy update;feedback interpretation / loop adjustment;long-horizon state management;tool routing / strategy routing</x:v>
      </x:c>
      <x:c r="H326" s="11" t="str">
        <x:v>context aggregation / rule extraction;failure reuse / strategy update;feedback interpretation / loop adjustment;long-horizon state management;tool routing / strategy routing;validation organization / evidence packaging</x:v>
      </x:c>
      <x:c r="I326" s="11" t="str">
        <x:v>source-linked lead</x:v>
      </x:c>
      <x:c r="J326" s="11" t="str">
        <x:v>https://arxiv.org/pdf/2508.18370 | role p.2; action p.1; feedback p.1; validation p.1; evaluation p.4</x:v>
      </x:c>
      <x:c r="K326" s="11" t="str">
        <x:v>notably excelling at software engineering tasks through verified feedback loops. Yet, scalable and generalizable execution-grounded environments remain scarce, limiting progress in training more capable ML agents. We introduce CTF-D OJO, the first large-scale executable</x:v>
      </x:c>
      <x:c r="L326" s="16" t="str">
        <x:v>A source-linked excerpt and locator are supplied as review leads for auditability.</x:v>
      </x:c>
      <x:c r="M326" s="16" t="str">
        <x:v>Require an explicit cross-stage connection. Information must guide later action; feedback must alter later action; packaging must assemble prior outputs; governance must enforce an actual gate.</x:v>
      </x:c>
      <x:c r="N326" s="16" t="str">
        <x:v>context aggregation / rule extraction;tool routing / strategy routing;feedback interpretation / loop adjustment;long-horizon state management;failure reuse / strategy update</x:v>
      </x:c>
      <x:c r="O326" s="16" t="str">
        <x:v>The cited source supports the selected label context aggregation / rule extraction;tool routing / strategy routing;feedback interpretation / loop adjustment;long-horizon state management;failure reuse / strategy update; each retained label requires an explicit connection that guides later action, feedback, packaging, or a gate.</x:v>
      </x:c>
      <x:c r="P326" s="16" t="str">
        <x:v>https://arxiv.org/pdf/2508.18370 | role p.2; action p.1; feedback p.1; validation p.1; evaluation p.4</x:v>
      </x:c>
      <x:c r="Q326" s="16" t="str">
        <x:v>no</x:v>
      </x:c>
      <x:c r="R326" s="11" t="str"/>
      <x:c r="S326" s="11" t="str">
        <x:v>2026-08-12</x:v>
      </x:c>
      <x:c r="T326" s="18" t="str">
        <x:f>IF(OR(AND(N326="unresolved",LEN(O326)&gt;0,LEN(P326)&gt;0,Q326="yes"),AND(LEN(N326)&gt;0,LEN(O326)&gt;0,LEN(P326)&gt;0,OR(Q326="yes",Q326="no"))),"ready","pending")</x:f>
        <x:v>ready</x:v>
      </x:c>
    </x:row>
    <x:row r="327" ht="44" customHeight="1">
      <x:c r="A327" s="10" t="str">
        <x:v>FMS1561__lifecycle</x:v>
      </x:c>
      <x:c r="B327" s="11" t="str">
        <x:v>FMS1561</x:v>
      </x:c>
      <x:c r="C327" s="11" t="str">
        <x:v>final_multisource_132</x:v>
      </x:c>
      <x:c r="D327" s="11" t="str">
        <x:v>VCAO: Verifier-Centered Agentic Orchestration for Strategic OS Vulnerability Discovery</x:v>
      </x:c>
      <x:c r="E327" s="11" t="str">
        <x:v>lifecycle coverage</x:v>
      </x:c>
      <x:c r="F327" s="11" t="str">
        <x:v>multi-label</x:v>
      </x:c>
      <x:c r="G327" s="11" t="str">
        <x:v>candidate analysis;execution observation;patch validation;path and input exploration;reporting and audit;reproduction and validation</x:v>
      </x:c>
      <x:c r="H327" s="11" t="str">
        <x:v>candidate analysis;execution observation;path and input exploration;reporting and audit;reproduction and validation</x:v>
      </x:c>
      <x:c r="I327" s="11" t="str">
        <x:v>source-linked lead</x:v>
      </x:c>
      <x:c r="J327" s="11" t="str">
        <x:v>https://arxiv.org/pdf/2604.08291 | role p.6; action p.1; feedback p.1; validation p.1; evaluation p.1</x:v>
      </x:c>
      <x:c r="K327" s="11" t="str">
        <x:v>L4 Patch-Diff Miner CodeQL Agent Fuzzing Agent KASAN Agent KCSAN Agent Cascaded Verifier / Critic Layer L5 V1 : Reproducibility → V2 : Severity Assessment → V3 : Deduplication → Human Triage Safety Governor L6 Isolation • Logging •</x:v>
      </x:c>
      <x:c r="L327" s="16" t="str">
        <x:v>A source-linked excerpt and locator are supplied as review leads for auditability.</x:v>
      </x:c>
      <x:c r="M327" s="16" t="str">
        <x:v>Mark only observable lifecycle actions or outputs. Reporting and audit requires explicit packaging, routing, disclosure, or audit transition; a report name alone is insufficient.</x:v>
      </x:c>
      <x:c r="N327" s="16" t="str">
        <x:v>candidate analysis;path and input exploration;execution observation;reproduction and validation;patch validation;reporting and audit</x:v>
      </x:c>
      <x:c r="O327" s="16" t="str">
        <x:v>The cited source supports the selected label candidate analysis;path and input exploration;execution observation;reproduction and validation;patch validation;reporting and audit; only observable workflow actions or outputs were retained.</x:v>
      </x:c>
      <x:c r="P327" s="16" t="str">
        <x:v>https://arxiv.org/pdf/2604.08291 | role p.6; action p.1; feedback p.1; validation p.1; evaluation p.1</x:v>
      </x:c>
      <x:c r="Q327" s="16" t="str">
        <x:v>no</x:v>
      </x:c>
      <x:c r="R327" s="11" t="str"/>
      <x:c r="S327" s="11" t="str">
        <x:v>2026-08-12</x:v>
      </x:c>
      <x:c r="T327" s="18" t="str">
        <x:f>IF(OR(AND(N327="unresolved",LEN(O327)&gt;0,LEN(P327)&gt;0,Q327="yes"),AND(LEN(N327)&gt;0,LEN(O327)&gt;0,LEN(P327)&gt;0,OR(Q327="yes",Q327="no"))),"ready","pending")</x:f>
        <x:v>ready</x:v>
      </x:c>
    </x:row>
    <x:row r="328" ht="44" customHeight="1">
      <x:c r="A328" s="10" t="str">
        <x:v>FMS1561__capability</x:v>
      </x:c>
      <x:c r="B328" s="11" t="str">
        <x:v>FMS1561</x:v>
      </x:c>
      <x:c r="C328" s="11" t="str">
        <x:v>final_multisource_132</x:v>
      </x:c>
      <x:c r="D328" s="11" t="str">
        <x:v>VCAO: Verifier-Centered Agentic Orchestration for Strategic OS Vulnerability Discovery</x:v>
      </x:c>
      <x:c r="E328" s="11" t="str">
        <x:v>cross-stage capability</x:v>
      </x:c>
      <x:c r="F328" s="11" t="str">
        <x:v>multi-label</x:v>
      </x:c>
      <x:c r="G328" s="11" t="str">
        <x:v>context aggregation / rule extraction;failure reuse / strategy update;feedback interpretation / loop adjustment;long-horizon state management;tool routing / strategy routing;validation organization / evidence packaging</x:v>
      </x:c>
      <x:c r="H328" s="11" t="str">
        <x:v>context aggregation / rule extraction;failure reuse / strategy update;feedback interpretation / loop adjustment;governance / human gates / disclosure control;long-horizon state management;tool routing / strategy routing;validation organization / evidence packaging</x:v>
      </x:c>
      <x:c r="I328" s="11" t="str">
        <x:v>source-linked lead</x:v>
      </x:c>
      <x:c r="J328" s="11" t="str">
        <x:v>https://arxiv.org/pdf/2604.08291 | role p.6; action p.1; feedback p.1; validation p.1; evaluation p.1</x:v>
      </x:c>
      <x:c r="K328" s="11" t="str">
        <x:v>, and attack paths while external verifiers—static analyzers, fuzzers, and sanitizers—provide evidence. At each round, the orchestrator selects a target component, an analysis method, and a time budget; observes tool outputs; updates Bayesian beliefs over latent vulnerability states; and re-solves the game to minimize the strategic</x:v>
      </x:c>
      <x:c r="L328" s="16" t="str">
        <x:v>A source-linked excerpt and locator are supplied as review leads for auditability.</x:v>
      </x:c>
      <x:c r="M328" s="16" t="str">
        <x:v>Require an explicit cross-stage connection. Information must guide later action; feedback must alter later action; packaging must assemble prior outputs; governance must enforce an actual gate.</x:v>
      </x:c>
      <x:c r="N328" s="16" t="str">
        <x:v>context aggregation / rule extraction;tool routing / strategy routing;feedback interpretation / loop adjustment;validation organization / evidence packaging;long-horizon state management;failure reuse / strategy update</x:v>
      </x:c>
      <x:c r="O328"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328" s="16" t="str">
        <x:v>https://arxiv.org/pdf/2604.08291 | role p.6; action p.1; feedback p.1; validation p.1; evaluation p.1</x:v>
      </x:c>
      <x:c r="Q328" s="16" t="str">
        <x:v>no</x:v>
      </x:c>
      <x:c r="R328" s="11" t="str"/>
      <x:c r="S328" s="11" t="str">
        <x:v>2026-08-12</x:v>
      </x:c>
      <x:c r="T328" s="18" t="str">
        <x:f>IF(OR(AND(N328="unresolved",LEN(O328)&gt;0,LEN(P328)&gt;0,Q328="yes"),AND(LEN(N328)&gt;0,LEN(O328)&gt;0,LEN(P328)&gt;0,OR(Q328="yes",Q328="no"))),"ready","pending")</x:f>
        <x:v>ready</x:v>
      </x:c>
    </x:row>
    <x:row r="329" ht="44" customHeight="1">
      <x:c r="A329" s="10" t="str">
        <x:v>FMS1561__principal_evidence</x:v>
      </x:c>
      <x:c r="B329" s="11" t="str">
        <x:v>FMS1561</x:v>
      </x:c>
      <x:c r="C329" s="11" t="str">
        <x:v>final_multisource_132</x:v>
      </x:c>
      <x:c r="D329" s="11" t="str">
        <x:v>VCAO: Verifier-Centered Agentic Orchestration for Strategic OS Vulnerability Discovery</x:v>
      </x:c>
      <x:c r="E329" s="11" t="str">
        <x:v>principal reported evidence output</x:v>
      </x:c>
      <x:c r="F329" s="11" t="str">
        <x:v>single-label</x:v>
      </x:c>
      <x:c r="G329" s="11" t="str">
        <x:v>runtime safety signal</x:v>
      </x:c>
      <x:c r="H329" s="11" t="str">
        <x:v>reproducible validation</x:v>
      </x:c>
      <x:c r="I329" s="11" t="str">
        <x:v>source-linked lead</x:v>
      </x:c>
      <x:c r="J329" s="11" t="str">
        <x:v>https://arxiv.org/pdf/2604.08291 | role p.6; action p.1; feedback p.1; validation p.1; evaluation p.1</x:v>
      </x:c>
      <x:c r="K329" s="11" t="str">
        <x:v>m online Stackelberg learning. Experiments on five Linux kernel subsystems—replaying 847 historical CVEs and running live discovery on upstream snapshots—show that VCAO discovers 2.7× more validated vulnerabilities per unit budget than coverage-only fuzzing, 1.9× more than static-analysis-only baselines,</x:v>
      </x:c>
      <x:c r="L329" s="16" t="str">
        <x:v>A source-linked excerpt and locator are supplied as review leads for auditability.</x:v>
      </x:c>
      <x:c r="M329" s="16" t="str">
        <x:v>Select the observable result most directly supporting the main finding. Benchmark ground truth or aggregate CVE counts do not automatically establish externally traceable material.</x:v>
      </x:c>
      <x:c r="N329" s="16" t="str">
        <x:v>runtime safety signal</x:v>
      </x:c>
      <x:c r="O329" s="16" t="str">
        <x:v>The cited source supports the selected label runtime safety signal as the main observable result reported for the study.</x:v>
      </x:c>
      <x:c r="P329" s="16" t="str">
        <x:v>https://arxiv.org/pdf/2604.08291 | role p.6; action p.1; feedback p.1; validation p.1; evaluation p.1</x:v>
      </x:c>
      <x:c r="Q329" s="16" t="str">
        <x:v>no</x:v>
      </x:c>
      <x:c r="R329" s="11" t="str"/>
      <x:c r="S329" s="11" t="str">
        <x:v>2026-08-12</x:v>
      </x:c>
      <x:c r="T329" s="18" t="str">
        <x:f>IF(OR(AND(N329="unresolved",LEN(O329)&gt;0,LEN(P329)&gt;0,Q329="yes"),AND(LEN(N329)&gt;0,LEN(O329)&gt;0,LEN(P329)&gt;0,OR(Q329="yes",Q329="no"))),"ready","pending")</x:f>
        <x:v>ready</x:v>
      </x:c>
    </x:row>
    <x:row r="330" ht="44" customHeight="1">
      <x:c r="A330" s="10" t="str">
        <x:v>FMS1561__external_traceability</x:v>
      </x:c>
      <x:c r="B330" s="11" t="str">
        <x:v>FMS1561</x:v>
      </x:c>
      <x:c r="C330" s="11" t="str">
        <x:v>final_multisource_132</x:v>
      </x:c>
      <x:c r="D330" s="11" t="str">
        <x:v>VCAO: Verifier-Centered Agentic Orchestration for Strategic OS Vulnerability Discovery</x:v>
      </x:c>
      <x:c r="E330" s="11" t="str">
        <x:v>external traceability</x:v>
      </x:c>
      <x:c r="F330" s="11" t="str">
        <x:v>single-label</x:v>
      </x:c>
      <x:c r="G330" s="11" t="str">
        <x:v>author-reported external clue</x:v>
      </x:c>
      <x:c r="H330" s="11" t="str">
        <x:v>benchmark ground truth / public material</x:v>
      </x:c>
      <x:c r="I330" s="11" t="str">
        <x:v>source-linked lead</x:v>
      </x:c>
      <x:c r="J330" s="11" t="str">
        <x:v>https://arxiv.org/pdf/2604.08291 | role p.6; action p.1; feedback p.1; validation p.1; evaluation p.1</x:v>
      </x:c>
      <x:c r="K330" s="11" t="str">
        <x:v>aints, with formal Õ( T ) regret bounds from online Stackelberg learning. Experiments on five Linux kernel subsystems—replaying 847 historical CVEs and running live discovery on upstream snapshots—show that VCAO discovers 2.7× more validated vulnerabilities per unit budget than coverage-only fuzzing, 1.9× more than static-analy</x:v>
      </x:c>
      <x:c r="L330" s="16" t="str">
        <x:v>A source-linked excerpt and locator are supplied as review leads for auditability.</x:v>
      </x:c>
      <x:c r="M330" s="16" t="str">
        <x:v>Code separately from principal output. Only item-level alignment between a concrete system result and a specific public external record qualifies as publicly aligned external trace.</x:v>
      </x:c>
      <x:c r="N330" s="16" t="str">
        <x:v>author-reported external clue</x:v>
      </x:c>
      <x:c r="O330" s="16" t="str">
        <x:v>The cited source supports the selected label author-reported external clue under the codebook's item-level public-record alignment criterion.</x:v>
      </x:c>
      <x:c r="P330" s="16" t="str">
        <x:v>https://arxiv.org/pdf/2604.08291 | role p.6; action p.1; feedback p.1; validation p.1; evaluation p.1</x:v>
      </x:c>
      <x:c r="Q330" s="16" t="str">
        <x:v>no</x:v>
      </x:c>
      <x:c r="R330" s="11" t="str"/>
      <x:c r="S330" s="11" t="str">
        <x:v>2026-08-12</x:v>
      </x:c>
      <x:c r="T330" s="18" t="str">
        <x:f>IF(OR(AND(N330="unresolved",LEN(O330)&gt;0,LEN(P330)&gt;0,Q330="yes"),AND(LEN(N330)&gt;0,LEN(O330)&gt;0,LEN(P330)&gt;0,OR(Q330="yes",Q330="no"))),"ready","pending")</x:f>
        <x:v>ready</x:v>
      </x:c>
    </x:row>
    <x:row r="331" ht="44" customHeight="1">
      <x:c r="A331" s="10" t="str">
        <x:v>FMS1586__lifecycle</x:v>
      </x:c>
      <x:c r="B331" s="11" t="str">
        <x:v>FMS1586</x:v>
      </x:c>
      <x:c r="C331" s="11" t="str">
        <x:v>final_multisource_132</x:v>
      </x:c>
      <x:c r="D331" s="11" t="str">
        <x:v>VulnBot: Autonomous Penetration Testing for A Multi-Agent Collaborative Framework</x:v>
      </x:c>
      <x:c r="E331" s="11" t="str">
        <x:v>lifecycle coverage</x:v>
      </x:c>
      <x:c r="F331" s="11" t="str">
        <x:v>multi-label</x:v>
      </x:c>
      <x:c r="G331" s="11" t="str">
        <x:v>candidate analysis;execution observation;path and input exploration;reproduction and validation</x:v>
      </x:c>
      <x:c r="H331" s="11" t="str">
        <x:v>candidate analysis;execution observation;path and input exploration;reporting and audit</x:v>
      </x:c>
      <x:c r="I331" s="11" t="str">
        <x:v>source-linked lead</x:v>
      </x:c>
      <x:c r="J331" s="11" t="str">
        <x:v>https://arxiv.org/pdf/2501.13411 | role p.1; action p.1; feedback p.3; validation p.9; evaluation p.1</x:v>
      </x:c>
      <x:c r="K331" s="11" t="str">
        <x:v>as a lack of contextual understanding and excessive, unstruc- leverage LLMs for automated penetration testing. For in- tured data generation. This paper presents VulnBot, an au- stance, Deng et al. introduced PentestGPT, a pioneering effort</x:v>
      </x:c>
      <x:c r="L331" s="16" t="str">
        <x:v>A source-linked excerpt and locator are supplied as review leads for auditability.</x:v>
      </x:c>
      <x:c r="M331" s="16" t="str">
        <x:v>Mark only observable lifecycle actions or outputs. Reporting and audit requires explicit packaging, routing, disclosure, or audit transition; a report name alone is insufficient.</x:v>
      </x:c>
      <x:c r="N331" s="16" t="str">
        <x:v>candidate analysis;path and input exploration;execution observation;reproduction and validation</x:v>
      </x:c>
      <x:c r="O331" s="16" t="str">
        <x:v>The cited source supports the selected label candidate analysis;path and input exploration;execution observation;reproduction and validation; only observable workflow actions or outputs were retained.</x:v>
      </x:c>
      <x:c r="P331" s="16" t="str">
        <x:v>https://arxiv.org/pdf/2501.13411 | role p.1; action p.1; feedback p.3; validation p.9; evaluation p.1</x:v>
      </x:c>
      <x:c r="Q331" s="16" t="str">
        <x:v>no</x:v>
      </x:c>
      <x:c r="R331" s="11" t="str"/>
      <x:c r="S331" s="11" t="str">
        <x:v>2026-08-12</x:v>
      </x:c>
      <x:c r="T331" s="18" t="str">
        <x:f>IF(OR(AND(N331="unresolved",LEN(O331)&gt;0,LEN(P331)&gt;0,Q331="yes"),AND(LEN(N331)&gt;0,LEN(O331)&gt;0,LEN(P331)&gt;0,OR(Q331="yes",Q331="no"))),"ready","pending")</x:f>
        <x:v>ready</x:v>
      </x:c>
    </x:row>
    <x:row r="332" ht="44" customHeight="1">
      <x:c r="A332" s="10" t="str">
        <x:v>FMS1607__lifecycle</x:v>
      </x:c>
      <x:c r="B332" s="11" t="str">
        <x:v>FMS1607</x:v>
      </x:c>
      <x:c r="C332" s="11" t="str">
        <x:v>final_multisource_132</x:v>
      </x:c>
      <x:c r="D332" s="11" t="str">
        <x:v>Well Begun is Half Done: Location-Aware and Trace-Guided Iterative Automated Vulnerability Repair</x:v>
      </x:c>
      <x:c r="E332" s="11" t="str">
        <x:v>lifecycle coverage</x:v>
      </x:c>
      <x:c r="F332" s="11" t="str">
        <x:v>multi-label</x:v>
      </x:c>
      <x:c r="G332" s="11" t="str">
        <x:v>candidate analysis;execution observation;patch validation</x:v>
      </x:c>
      <x:c r="H332" s="11" t="str">
        <x:v>candidate analysis;execution observation;patch validation;reporting and audit;reproduction and validation</x:v>
      </x:c>
      <x:c r="I332" s="11" t="str">
        <x:v>source-linked lead</x:v>
      </x:c>
      <x:c r="J332" s="11" t="str">
        <x:v>https://arxiv.org/pdf/2512.20203 | role p.2; action p.1; feedback p.1; validation p.2; evaluation p.1</x:v>
      </x:c>
      <x:c r="K332" s="11" t="str">
        <x:v>ltiple places. Therefore, it is important baselines [8, 16, 17, 62, 69, 71, 74, 77]. In terms of correct patch for LLMs to pay attention to the locations that need to be repaired generation, LoopRepair achieves state-of-the-art performance, re- before generating patches. For example, for a Use After Free (CWE- pairing 8 to 13 additional vulnerabilities compared with exi</x:v>
      </x:c>
      <x:c r="L332" s="16" t="str">
        <x:v>A source-linked excerpt and locator are supplied as review leads for auditability.</x:v>
      </x:c>
      <x:c r="M332" s="16" t="str">
        <x:v>Mark only observable lifecycle actions or outputs. Reporting and audit requires explicit packaging, routing, disclosure, or audit transition; a report name alone is insufficient.</x:v>
      </x:c>
      <x:c r="N332" s="16" t="str">
        <x:v>candidate analysis;execution observation;patch validation</x:v>
      </x:c>
      <x:c r="O332" s="16" t="str">
        <x:v>The cited source supports the selected label candidate analysis;execution observation;patch validation; only observable workflow actions or outputs were retained.</x:v>
      </x:c>
      <x:c r="P332" s="16" t="str">
        <x:v>https://arxiv.org/pdf/2512.20203 | role p.2; action p.1; feedback p.1; validation p.2; evaluation p.1</x:v>
      </x:c>
      <x:c r="Q332" s="16" t="str">
        <x:v>no</x:v>
      </x:c>
      <x:c r="R332" s="11" t="str"/>
      <x:c r="S332" s="11" t="str">
        <x:v>2026-08-12</x:v>
      </x:c>
      <x:c r="T332" s="18" t="str">
        <x:f>IF(OR(AND(N332="unresolved",LEN(O332)&gt;0,LEN(P332)&gt;0,Q332="yes"),AND(LEN(N332)&gt;0,LEN(O332)&gt;0,LEN(P332)&gt;0,OR(Q332="yes",Q332="no"))),"ready","pending")</x:f>
        <x:v>ready</x:v>
      </x:c>
    </x:row>
    <x:row r="333" ht="44" customHeight="1">
      <x:c r="A333" s="10" t="str">
        <x:v>FMS1607__capability</x:v>
      </x:c>
      <x:c r="B333" s="11" t="str">
        <x:v>FMS1607</x:v>
      </x:c>
      <x:c r="C333" s="11" t="str">
        <x:v>final_multisource_132</x:v>
      </x:c>
      <x:c r="D333" s="11" t="str">
        <x:v>Well Begun is Half Done: Location-Aware and Trace-Guided Iterative Automated Vulnerability Repair</x:v>
      </x:c>
      <x:c r="E333" s="11" t="str">
        <x:v>cross-stage capability</x:v>
      </x:c>
      <x:c r="F333" s="11" t="str">
        <x:v>multi-label</x:v>
      </x:c>
      <x:c r="G333" s="11" t="str">
        <x:v>context aggregation / rule extraction;failure reuse / strategy update;feedback interpretation / loop adjustment;tool routing / strategy routing;validation organization / evidence packaging</x:v>
      </x:c>
      <x:c r="H333" s="11" t="str">
        <x:v>context aggregation / rule extraction;failure reuse / strategy update;feedback interpretation / loop adjustment;validation organization / evidence packaging</x:v>
      </x:c>
      <x:c r="I333" s="11" t="str">
        <x:v>source-linked lead</x:v>
      </x:c>
      <x:c r="J333" s="11" t="str">
        <x:v>https://arxiv.org/pdf/2512.20203 | role p.2; action p.1; feedback p.1; validation p.2; evaluation p.1</x:v>
      </x:c>
      <x:c r="K333" s="11" t="str">
        <x:v>ability repair approaches, which Trace, Iterative Repair iteratively refine the patch until it becomes plausible. Nevertheless, existing LLM-based vulnerability repair approaches face notable ACM Reference Format: Zhenlei Ye, Xiaobing</x:v>
      </x:c>
      <x:c r="L333" s="16" t="str">
        <x:v>A source-linked excerpt and locator are supplied as review leads for auditability.</x:v>
      </x:c>
      <x:c r="M333" s="16" t="str">
        <x:v>Require an explicit cross-stage connection. Information must guide later action; feedback must alter later action; packaging must assemble prior outputs; governance must enforce an actual gate.</x:v>
      </x:c>
      <x:c r="N333" s="16" t="str">
        <x:v>context aggregation / rule extraction;tool routing / strategy routing;feedback interpretation / loop adjustment;validation organization / evidence packaging;failure reuse / strategy update</x:v>
      </x:c>
      <x:c r="O333"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333" s="16" t="str">
        <x:v>https://arxiv.org/pdf/2512.20203 | role p.2; action p.1; feedback p.1; validation p.2; evaluation p.1</x:v>
      </x:c>
      <x:c r="Q333" s="16" t="str">
        <x:v>no</x:v>
      </x:c>
      <x:c r="R333" s="11" t="str"/>
      <x:c r="S333" s="11" t="str">
        <x:v>2026-08-12</x:v>
      </x:c>
      <x:c r="T333" s="18" t="str">
        <x:f>IF(OR(AND(N333="unresolved",LEN(O333)&gt;0,LEN(P333)&gt;0,Q333="yes"),AND(LEN(N333)&gt;0,LEN(O333)&gt;0,LEN(P333)&gt;0,OR(Q333="yes",Q333="no"))),"ready","pending")</x:f>
        <x:v>ready</x:v>
      </x:c>
    </x:row>
    <x:row r="334" ht="44" customHeight="1">
      <x:c r="A334" s="10" t="str">
        <x:v>FMS1613__lifecycle</x:v>
      </x:c>
      <x:c r="B334" s="11" t="str">
        <x:v>FMS1613</x:v>
      </x:c>
      <x:c r="C334" s="11" t="str">
        <x:v>final_multisource_132</x:v>
      </x:c>
      <x:c r="D334" s="11" t="str">
        <x:v>What You Code Is What We Prove: Translating BLE App Logic into Formal Models with LLMs for Vulnerability Detection</x:v>
      </x:c>
      <x:c r="E334" s="11" t="str">
        <x:v>lifecycle coverage</x:v>
      </x:c>
      <x:c r="F334" s="11" t="str">
        <x:v>multi-label</x:v>
      </x:c>
      <x:c r="G334" s="11" t="str">
        <x:v>candidate analysis;execution observation;reporting and audit</x:v>
      </x:c>
      <x:c r="H334" s="11" t="str">
        <x:v>candidate analysis;execution observation;reporting and audit;reproduction and validation</x:v>
      </x:c>
      <x:c r="I334" s="11" t="str">
        <x:v>source-linked lead</x:v>
      </x:c>
      <x:c r="J334" s="11" t="str">
        <x:v>https://arxiv.org/pdf/2509.09291 | role p.1; action p.1; feedback p.1; validation p.1; evaluation p.2</x:v>
      </x:c>
      <x:c r="K334" s="11" t="str">
        <x:v>B. Yan, Y. Zhang, M. Xu, R. Pan, and X. Cheng are with the School [10]. We therefore explore a design where LLMs serve not of Computer Science and Technology at Shandong University, China. as vulnerability analyzers, but as semantic translators that Jinku Li is with the School of Cyber Eng</x:v>
      </x:c>
      <x:c r="L334" s="16" t="str">
        <x:v>A source-linked excerpt and locator are supplied as review leads for auditability.</x:v>
      </x:c>
      <x:c r="M334" s="16" t="str">
        <x:v>Mark only observable lifecycle actions or outputs. Reporting and audit requires explicit packaging, routing, disclosure, or audit transition; a report name alone is insufficient.</x:v>
      </x:c>
      <x:c r="N334" s="16" t="str">
        <x:v>candidate analysis;execution observation;reporting and audit</x:v>
      </x:c>
      <x:c r="O334" s="16" t="str">
        <x:v>The cited source supports the selected label candidate analysis;execution observation;reporting and audit; only observable workflow actions or outputs were retained.</x:v>
      </x:c>
      <x:c r="P334" s="16" t="str">
        <x:v>https://arxiv.org/pdf/2509.09291 | role p.1; action p.1; feedback p.1; validation p.1; evaluation p.2</x:v>
      </x:c>
      <x:c r="Q334" s="16" t="str">
        <x:v>no</x:v>
      </x:c>
      <x:c r="R334" s="11" t="str"/>
      <x:c r="S334" s="11" t="str">
        <x:v>2026-08-12</x:v>
      </x:c>
      <x:c r="T334" s="18" t="str">
        <x:f>IF(OR(AND(N334="unresolved",LEN(O334)&gt;0,LEN(P334)&gt;0,Q334="yes"),AND(LEN(N334)&gt;0,LEN(O334)&gt;0,LEN(P334)&gt;0,OR(Q334="yes",Q334="no"))),"ready","pending")</x:f>
        <x:v>ready</x:v>
      </x:c>
    </x:row>
    <x:row r="335" ht="44" customHeight="1">
      <x:c r="A335" s="10" t="str">
        <x:v>FMS1613__capability</x:v>
      </x:c>
      <x:c r="B335" s="11" t="str">
        <x:v>FMS1613</x:v>
      </x:c>
      <x:c r="C335" s="11" t="str">
        <x:v>final_multisource_132</x:v>
      </x:c>
      <x:c r="D335" s="11" t="str">
        <x:v>What You Code Is What We Prove: Translating BLE App Logic into Formal Models with LLMs for Vulnerability Detection</x:v>
      </x:c>
      <x:c r="E335" s="11" t="str">
        <x:v>cross-stage capability</x:v>
      </x:c>
      <x:c r="F335" s="11" t="str">
        <x:v>multi-label</x:v>
      </x:c>
      <x:c r="G335" s="11" t="str">
        <x:v>context aggregation / rule extraction;failure reuse / strategy update;feedback interpretation / loop adjustment;tool routing / strategy routing;validation organization / evidence packaging</x:v>
      </x:c>
      <x:c r="H335" s="11" t="str">
        <x:v>context aggregation / rule extraction;tool routing / strategy routing;validation organization / evidence packaging</x:v>
      </x:c>
      <x:c r="I335" s="11" t="str">
        <x:v>source-linked lead</x:v>
      </x:c>
      <x:c r="J335" s="11" t="str">
        <x:v>https://arxiv.org/pdf/2509.09291 | role p.1; action p.1; feedback p.1; validation p.1; evaluation p.2</x:v>
      </x:c>
      <x:c r="K335" s="11" t="str">
        <x:v>verification to check three core security features: encryption, but their coverage is limited to shallow syntactic features and randomness, and authentication. Applied to 1,050 Android BLE apps, VerifiaBLE uncovers systemic weaknesses: only 10.2% of predefined rules. They often miss nuanced security logic (e.g.,</x:v>
      </x:c>
      <x:c r="L335" s="16" t="str">
        <x:v>A source-linked excerpt and locator are supplied as review leads for auditability.</x:v>
      </x:c>
      <x:c r="M335" s="16" t="str">
        <x:v>Require an explicit cross-stage connection. Information must guide later action; feedback must alter later action; packaging must assemble prior outputs; governance must enforce an actual gate.</x:v>
      </x:c>
      <x:c r="N335" s="16" t="str">
        <x:v>context aggregation / rule extraction;tool routing / strategy routing;feedback interpretation / loop adjustment;validation organization / evidence packaging;failure reuse / strategy update</x:v>
      </x:c>
      <x:c r="O335"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335" s="16" t="str">
        <x:v>https://arxiv.org/pdf/2509.09291 | role p.1; action p.1; feedback p.1; validation p.1; evaluation p.2</x:v>
      </x:c>
      <x:c r="Q335" s="16" t="str">
        <x:v>no</x:v>
      </x:c>
      <x:c r="R335" s="11" t="str"/>
      <x:c r="S335" s="11" t="str">
        <x:v>2026-08-12</x:v>
      </x:c>
      <x:c r="T335" s="18" t="str">
        <x:f>IF(OR(AND(N335="unresolved",LEN(O335)&gt;0,LEN(P335)&gt;0,Q335="yes"),AND(LEN(N335)&gt;0,LEN(O335)&gt;0,LEN(P335)&gt;0,OR(Q335="yes",Q335="no"))),"ready","pending")</x:f>
        <x:v>ready</x:v>
      </x:c>
    </x:row>
    <x:row r="336" ht="44" customHeight="1">
      <x:c r="A336" s="10" t="str">
        <x:v>FMS1613__principal_evidence</x:v>
      </x:c>
      <x:c r="B336" s="11" t="str">
        <x:v>FMS1613</x:v>
      </x:c>
      <x:c r="C336" s="11" t="str">
        <x:v>final_multisource_132</x:v>
      </x:c>
      <x:c r="D336" s="11" t="str">
        <x:v>What You Code Is What We Prove: Translating BLE App Logic into Formal Models with LLMs for Vulnerability Detection</x:v>
      </x:c>
      <x:c r="E336" s="11" t="str">
        <x:v>principal reported evidence output</x:v>
      </x:c>
      <x:c r="F336" s="11" t="str">
        <x:v>single-label</x:v>
      </x:c>
      <x:c r="G336" s="11" t="str">
        <x:v>candidate judgment</x:v>
      </x:c>
      <x:c r="H336" s="11" t="str">
        <x:v>reproducible validation</x:v>
      </x:c>
      <x:c r="I336" s="11" t="str">
        <x:v>source-linked lead</x:v>
      </x:c>
      <x:c r="J336" s="11" t="str">
        <x:v>https://arxiv.org/pdf/2509.09291 | role p.1; action p.1; feedback p.1; validation p.1; evaluation p.2</x:v>
      </x:c>
      <x:c r="K336" s="11" t="str">
        <x:v>ble for directly detecting vulnera- risks such as eavesdropping, spoofing, and replay attacks. bilities, they excel at understanding programming semantics and generating well-structured output in other representations B. Yan, Y. Zhang, M. Xu, R. Pan, and X. Che</x:v>
      </x:c>
      <x:c r="L336" s="16" t="str">
        <x:v>A source-linked excerpt and locator are supplied as review leads for auditability.</x:v>
      </x:c>
      <x:c r="M336" s="16" t="str">
        <x:v>Select the observable result most directly supporting the main finding. Benchmark ground truth or aggregate CVE counts do not automatically establish externally traceable material.</x:v>
      </x:c>
      <x:c r="N336" s="16" t="str">
        <x:v>candidate judgment</x:v>
      </x:c>
      <x:c r="O336" s="16" t="str">
        <x:v>The cited source supports the selected label candidate judgment as the main observable result reported for the study.</x:v>
      </x:c>
      <x:c r="P336" s="16" t="str">
        <x:v>https://arxiv.org/pdf/2509.09291 | role p.1; action p.1; feedback p.1; validation p.1; evaluation p.2</x:v>
      </x:c>
      <x:c r="Q336" s="16" t="str">
        <x:v>no</x:v>
      </x:c>
      <x:c r="R336" s="11" t="str"/>
      <x:c r="S336" s="11" t="str">
        <x:v>2026-08-12</x:v>
      </x:c>
      <x:c r="T336" s="18" t="str">
        <x:f>IF(OR(AND(N336="unresolved",LEN(O336)&gt;0,LEN(P336)&gt;0,Q336="yes"),AND(LEN(N336)&gt;0,LEN(O336)&gt;0,LEN(P336)&gt;0,OR(Q336="yes",Q336="no"))),"ready","pending")</x:f>
        <x:v>ready</x:v>
      </x:c>
    </x:row>
    <x:row r="337" ht="44" customHeight="1">
      <x:c r="A337" s="10" t="str">
        <x:v>FMS1613__external_traceability</x:v>
      </x:c>
      <x:c r="B337" s="11" t="str">
        <x:v>FMS1613</x:v>
      </x:c>
      <x:c r="C337" s="11" t="str">
        <x:v>final_multisource_132</x:v>
      </x:c>
      <x:c r="D337" s="11" t="str">
        <x:v>What You Code Is What We Prove: Translating BLE App Logic into Formal Models with LLMs for Vulnerability Detection</x:v>
      </x:c>
      <x:c r="E337" s="11" t="str">
        <x:v>external traceability</x:v>
      </x:c>
      <x:c r="F337" s="11" t="str">
        <x:v>single-label</x:v>
      </x:c>
      <x:c r="G337" s="11" t="str">
        <x:v>benchmark ground truth / public material</x:v>
      </x:c>
      <x:c r="H337" s="11" t="str">
        <x:v>no external trace reported</x:v>
      </x:c>
      <x:c r="I337" s="11" t="str">
        <x:v>source-linked lead</x:v>
      </x:c>
      <x:c r="J337" s="11" t="str">
        <x:v>https://arxiv.org/pdf/2509.09291 | role p.1; action p.1; feedback p.1; validation p.1; evaluation p.2</x:v>
      </x:c>
      <x:c r="K337" s="11" t="str">
        <x:v>ing to extract relevant code paths, translate them into formal process models via LLMs, and verify them using ProVerif. We evaluate VerifiaBLE on 1,050 real-world BLE Android applications and conduct extensive manual validation Host Generic Access Profile Generic Attribute and case studies. Our findings reveal systemic weaknesses in Profile BLE appl</x:v>
      </x:c>
      <x:c r="L337" s="16" t="str">
        <x:v>A source-linked excerpt and locator are supplied as review leads for auditability.</x:v>
      </x:c>
      <x:c r="M337" s="16" t="str">
        <x:v>Code separately from principal output. Only item-level alignment between a concrete system result and a specific public external record qualifies as publicly aligned external trace.</x:v>
      </x:c>
      <x:c r="N337" s="16" t="str">
        <x:v>benchmark ground truth / public material</x:v>
      </x:c>
      <x:c r="O337" s="16" t="str">
        <x:v>The cited source supports the selected label benchmark ground truth / public material under the codebook's item-level public-record alignment criterion.</x:v>
      </x:c>
      <x:c r="P337" s="16" t="str">
        <x:v>https://arxiv.org/pdf/2509.09291 | role p.1; action p.1; feedback p.1; validation p.1; evaluation p.2</x:v>
      </x:c>
      <x:c r="Q337" s="16" t="str">
        <x:v>no</x:v>
      </x:c>
      <x:c r="R337" s="11" t="str"/>
      <x:c r="S337" s="11" t="str">
        <x:v>2026-08-12</x:v>
      </x:c>
      <x:c r="T337" s="18" t="str">
        <x:f>IF(OR(AND(N337="unresolved",LEN(O337)&gt;0,LEN(P337)&gt;0,Q337="yes"),AND(LEN(N337)&gt;0,LEN(O337)&gt;0,LEN(P337)&gt;0,OR(Q337="yes",Q337="no"))),"ready","pending")</x:f>
        <x:v>ready</x:v>
      </x:c>
    </x:row>
    <x:row r="338" ht="44" customHeight="1">
      <x:c r="A338" s="10" t="str">
        <x:v>FMS1618__lifecycle</x:v>
      </x:c>
      <x:c r="B338" s="11" t="str">
        <x:v>FMS1618</x:v>
      </x:c>
      <x:c r="C338" s="11" t="str">
        <x:v>final_multisource_132</x:v>
      </x:c>
      <x:c r="D338" s="11" t="str">
        <x:v>When Fuzzing Meets Understanding: LLM-Driven Semantic Test Generation for RTL Verification</x:v>
      </x:c>
      <x:c r="E338" s="11" t="str">
        <x:v>lifecycle coverage</x:v>
      </x:c>
      <x:c r="F338" s="11" t="str">
        <x:v>multi-label</x:v>
      </x:c>
      <x:c r="G338" s="11" t="str">
        <x:v>execution observation;path and input exploration;reproduction and validation</x:v>
      </x:c>
      <x:c r="H338" s="11" t="str">
        <x:v>execution observation;path and input exploration</x:v>
      </x:c>
      <x:c r="I338" s="11" t="str">
        <x:v>source-linked lead</x:v>
      </x:c>
      <x:c r="J338" s="11" t="str">
        <x:v>https://arxiv.org/pdf/2607.10340 | role p.1; action p.1; feedback p.1; validation p.2; evaluation p.1</x:v>
      </x:c>
      <x:c r="K338" s="11" t="str">
        <x:v>When Fuzzing Meets Understanding: LLM-Driven Semantic Test Generation for RTL Verification Kun Wang</x:v>
      </x:c>
      <x:c r="L338" s="16" t="str">
        <x:v>A source-linked excerpt and locator are supplied as review leads for auditability.</x:v>
      </x:c>
      <x:c r="M338" s="16" t="str">
        <x:v>Mark only observable lifecycle actions or outputs. Reporting and audit requires explicit packaging, routing, disclosure, or audit transition; a report name alone is insufficient.</x:v>
      </x:c>
      <x:c r="N338" s="16" t="str">
        <x:v>path and input exploration;execution observation;reproduction and validation</x:v>
      </x:c>
      <x:c r="O338" s="16" t="str">
        <x:v>The cited source supports the selected label path and input exploration;execution observation;reproduction and validation; only observable workflow actions or outputs were retained.</x:v>
      </x:c>
      <x:c r="P338" s="16" t="str">
        <x:v>https://arxiv.org/pdf/2607.10340 | role p.1; action p.1; feedback p.1; validation p.2; evaluation p.1</x:v>
      </x:c>
      <x:c r="Q338" s="16" t="str">
        <x:v>no</x:v>
      </x:c>
      <x:c r="R338" s="11" t="str"/>
      <x:c r="S338" s="11" t="str">
        <x:v>2026-08-12</x:v>
      </x:c>
      <x:c r="T338" s="18" t="str">
        <x:f>IF(OR(AND(N338="unresolved",LEN(O338)&gt;0,LEN(P338)&gt;0,Q338="yes"),AND(LEN(N338)&gt;0,LEN(O338)&gt;0,LEN(P338)&gt;0,OR(Q338="yes",Q338="no"))),"ready","pending")</x:f>
        <x:v>ready</x:v>
      </x:c>
    </x:row>
    <x:row r="339" ht="44" customHeight="1">
      <x:c r="A339" s="10" t="str">
        <x:v>FMS1618__capability</x:v>
      </x:c>
      <x:c r="B339" s="11" t="str">
        <x:v>FMS1618</x:v>
      </x:c>
      <x:c r="C339" s="11" t="str">
        <x:v>final_multisource_132</x:v>
      </x:c>
      <x:c r="D339" s="11" t="str">
        <x:v>When Fuzzing Meets Understanding: LLM-Driven Semantic Test Generation for RTL Verification</x:v>
      </x:c>
      <x:c r="E339" s="11" t="str">
        <x:v>cross-stage capability</x:v>
      </x:c>
      <x:c r="F339" s="11" t="str">
        <x:v>multi-label</x:v>
      </x:c>
      <x:c r="G339" s="11" t="str">
        <x:v>context aggregation / rule extraction;failure reuse / strategy update;feedback interpretation / loop adjustment;tool routing / strategy routing;validation organization / evidence packaging</x:v>
      </x:c>
      <x:c r="H339" s="11" t="str">
        <x:v>context aggregation / rule extraction;failure reuse / strategy update;feedback interpretation / loop adjustment;tool routing / strategy routing</x:v>
      </x:c>
      <x:c r="I339" s="11" t="str">
        <x:v>source-linked lead</x:v>
      </x:c>
      <x:c r="J339" s="11" t="str">
        <x:v>https://arxiv.org/pdf/2607.10340 | role p.1; action p.1; feedback p.1; validation p.2; evaluation p.1</x:v>
      </x:c>
      <x:c r="K339" s="11" t="str">
        <x:v>The growing complexity of modern chips poses significant chal- scale designs. In contrast, coverage-guided fuzzing has gained trac- arXiv:2607.10340v1 [cs.AR] 11 Jul 2026 lenges to hardware verification. In recent years, coverage-guided tion as a scalable and effective methodology for hardware verifi- fuzzing has emerged as a promising approach for improving veri</x:v>
      </x:c>
      <x:c r="L339" s="16" t="str">
        <x:v>A source-linked excerpt and locator are supplied as review leads for auditability.</x:v>
      </x:c>
      <x:c r="M339" s="16" t="str">
        <x:v>Require an explicit cross-stage connection. Information must guide later action; feedback must alter later action; packaging must assemble prior outputs; governance must enforce an actual gate.</x:v>
      </x:c>
      <x:c r="N339" s="16" t="str">
        <x:v>context aggregation / rule extraction;tool routing / strategy routing;feedback interpretation / loop adjustment;validation organization / evidence packaging;failure reuse / strategy update</x:v>
      </x:c>
      <x:c r="O339" s="16" t="str">
        <x:v>The cited source supports the selected label context aggregation / rule extraction;tool routing / strategy routing;feedback interpretation / loop adjustment;validation organization / evidence packaging;failure reuse / strategy update; each retained label requires an explicit connection that guides later action, feedback, packaging, or a gate.</x:v>
      </x:c>
      <x:c r="P339" s="16" t="str">
        <x:v>https://arxiv.org/pdf/2607.10340 | role p.1; action p.1; feedback p.1; validation p.2; evaluation p.1</x:v>
      </x:c>
      <x:c r="Q339" s="16" t="str">
        <x:v>no</x:v>
      </x:c>
      <x:c r="R339" s="11" t="str"/>
      <x:c r="S339" s="11" t="str">
        <x:v>2026-08-12</x:v>
      </x:c>
      <x:c r="T339" s="18" t="str">
        <x:f>IF(OR(AND(N339="unresolved",LEN(O339)&gt;0,LEN(P339)&gt;0,Q339="yes"),AND(LEN(N339)&gt;0,LEN(O339)&gt;0,LEN(P339)&gt;0,OR(Q339="yes",Q339="no"))),"ready","pending")</x:f>
        <x:v>ready</x:v>
      </x:c>
    </x:row>
    <x:row r="340" ht="44" customHeight="1">
      <x:c r="A340" s="10" t="str">
        <x:v>FMS1635__lifecycle</x:v>
      </x:c>
      <x:c r="B340" s="11" t="str">
        <x:v>FMS1635</x:v>
      </x:c>
      <x:c r="C340" s="11" t="str">
        <x:v>final_multisource_132</x:v>
      </x:c>
      <x:c r="D340" s="11" t="str">
        <x:v>xOffense: An Autonomous Multi-Agent Framework for Penetration Testing with Domain-Adapted Large Language Models</x:v>
      </x:c>
      <x:c r="E340" s="11" t="str">
        <x:v>lifecycle coverage</x:v>
      </x:c>
      <x:c r="F340" s="11" t="str">
        <x:v>multi-label</x:v>
      </x:c>
      <x:c r="G340" s="11" t="str">
        <x:v>candidate analysis;execution observation;path and input exploration;reproduction and validation</x:v>
      </x:c>
      <x:c r="H340" s="11" t="str">
        <x:v>candidate analysis;execution observation;path and input exploration;reporting and audit</x:v>
      </x:c>
      <x:c r="I340" s="11" t="str">
        <x:v>source-linked lead</x:v>
      </x:c>
      <x:c r="J340" s="11" t="str">
        <x:v>https://arxiv.org/pdf/2509.13021 | role p.1; action p.1; feedback p.1; validation p.1; evaluation p.1</x:v>
      </x:c>
      <x:c r="K340" s="11" t="str">
        <x:v>le workflows. The proposed system leverages a fine-tuned mid-scale open-source LLM to perform structured reasoning and decision-making, while decomposing the pentesting pipeline into special</x:v>
      </x:c>
      <x:c r="L340" s="16" t="str">
        <x:v>A source-linked excerpt and locator are supplied as review leads for auditability.</x:v>
      </x:c>
      <x:c r="M340" s="16" t="str">
        <x:v>Mark only observable lifecycle actions or outputs. Reporting and audit requires explicit packaging, routing, disclosure, or audit transition; a report name alone is insufficient.</x:v>
      </x:c>
      <x:c r="N340" s="16" t="str">
        <x:v>candidate analysis;path and input exploration;execution observation;reproduction and validation</x:v>
      </x:c>
      <x:c r="O340" s="16" t="str">
        <x:v>The cited source supports the selected label candidate analysis;path and input exploration;execution observation;reproduction and validation; only observable workflow actions or outputs were retained.</x:v>
      </x:c>
      <x:c r="P340" s="16" t="str">
        <x:v>https://arxiv.org/pdf/2509.13021 | role p.1; action p.1; feedback p.1; validation p.1; evaluation p.1</x:v>
      </x:c>
      <x:c r="Q340" s="16" t="str">
        <x:v>no</x:v>
      </x:c>
      <x:c r="R340" s="11" t="str"/>
      <x:c r="S340" s="11" t="str">
        <x:v>2026-08-12</x:v>
      </x:c>
      <x:c r="T340" s="18" t="str">
        <x:f>IF(OR(AND(N340="unresolved",LEN(O340)&gt;0,LEN(P340)&gt;0,Q340="yes"),AND(LEN(N340)&gt;0,LEN(O340)&gt;0,LEN(P340)&gt;0,OR(Q340="yes",Q340="no"))),"ready","pending")</x:f>
        <x:v>ready</x:v>
      </x:c>
    </x:row>
    <x:row r="341" ht="44" customHeight="1">
      <x:c r="A341" s="10" t="str">
        <x:v>FMS1639__lifecycle</x:v>
      </x:c>
      <x:c r="B341" s="11" t="str">
        <x:v>FMS1639</x:v>
      </x:c>
      <x:c r="C341" s="11" t="str">
        <x:v>final_multisource_132</x:v>
      </x:c>
      <x:c r="D341" s="11" t="str">
        <x:v>ZERO-APT: A Closed-Loop Adversarial Framework for LLM-Driven Automated Penetration Testing under Intelligent Defense</x:v>
      </x:c>
      <x:c r="E341" s="11" t="str">
        <x:v>lifecycle coverage</x:v>
      </x:c>
      <x:c r="F341" s="11" t="str">
        <x:v>multi-label</x:v>
      </x:c>
      <x:c r="G341" s="11" t="str">
        <x:v>candidate analysis;execution observation;path and input exploration;reproduction and validation</x:v>
      </x:c>
      <x:c r="H341" s="11" t="str">
        <x:v>candidate analysis;execution observation;path and input exploration;reporting and audit</x:v>
      </x:c>
      <x:c r="I341" s="11" t="str">
        <x:v>source-linked lead</x:v>
      </x:c>
      <x:c r="J341" s="11" t="str">
        <x:v>https://arxiv.org/pdf/2606.05567 | role p.1; action p.1; feedback p.1; validation p.2; evaluation p.1</x:v>
      </x:c>
      <x:c r="K341" s="11" t="str">
        <x:v>defense remains untested. The causal consistency of multi- fully autonomous agent systems in 2024–2025 [4]. step attack chains likewise hinges on unstable LLM reasoning, Three lines of work have organized this space. The first and ag</x:v>
      </x:c>
      <x:c r="L341" s="16" t="str">
        <x:v>A source-linked excerpt and locator are supplied as review leads for auditability.</x:v>
      </x:c>
      <x:c r="M341" s="16" t="str">
        <x:v>Mark only observable lifecycle actions or outputs. Reporting and audit requires explicit packaging, routing, disclosure, or audit transition; a report name alone is insufficient.</x:v>
      </x:c>
      <x:c r="N341" s="16" t="str">
        <x:v>candidate analysis;path and input exploration;execution observation;reproduction and validation</x:v>
      </x:c>
      <x:c r="O341" s="16" t="str">
        <x:v>The cited source supports the selected label candidate analysis;path and input exploration;execution observation;reproduction and validation; only observable workflow actions or outputs were retained.</x:v>
      </x:c>
      <x:c r="P341" s="16" t="str">
        <x:v>https://arxiv.org/pdf/2606.05567 | role p.1; action p.1; feedback p.1; validation p.2; evaluation p.1</x:v>
      </x:c>
      <x:c r="Q341" s="16" t="str">
        <x:v>no</x:v>
      </x:c>
      <x:c r="R341" s="11" t="str"/>
      <x:c r="S341" s="11" t="str">
        <x:v>2026-08-12</x:v>
      </x:c>
      <x:c r="T341" s="18" t="str">
        <x:f>IF(OR(AND(N341="unresolved",LEN(O341)&gt;0,LEN(P341)&gt;0,Q341="yes"),AND(LEN(N341)&gt;0,LEN(O341)&gt;0,LEN(P341)&gt;0,OR(Q341="yes",Q341="no"))),"ready","pending")</x:f>
        <x:v>ready</x:v>
      </x:c>
    </x:row>
    <x:row r="342" ht="44" customHeight="1">
      <x:c r="A342" s="10" t="str">
        <x:v>FMS1640__lifecycle</x:v>
      </x:c>
      <x:c r="B342" s="11" t="str">
        <x:v>FMS1640</x:v>
      </x:c>
      <x:c r="C342" s="11" t="str">
        <x:v>final_multisource_132</x:v>
      </x:c>
      <x:c r="D342" s="11" t="str">
        <x:v>ZeroDayBench: Evaluating LLM Agents on Unseen Zero-Day Vulnerabilities for Cyberdefense</x:v>
      </x:c>
      <x:c r="E342" s="11" t="str">
        <x:v>lifecycle coverage</x:v>
      </x:c>
      <x:c r="F342" s="11" t="str">
        <x:v>multi-label</x:v>
      </x:c>
      <x:c r="G342" s="11" t="str">
        <x:v>candidate analysis;execution observation;patch validation</x:v>
      </x:c>
      <x:c r="H342" s="11" t="str">
        <x:v>candidate analysis;execution observation;path and input exploration;reporting and audit</x:v>
      </x:c>
      <x:c r="I342" s="11" t="str">
        <x:v>source-linked lead</x:v>
      </x:c>
      <x:c r="J342" s="11" t="str">
        <x:v>https://arxiv.org/pdf/2603.02297 | role p.2; action p.2; feedback p.2; validation p.1; evaluation p.2</x:v>
      </x:c>
      <x:c r="K342" s="11" t="str">
        <x:v>emonstrated potential for systemic compromise. • Most contemporary cybersecurity benchmarks measure success by an agent’s ability to generate a patch and evaluate said patch’s effectiveness, shifting the evaluation metric to functional remediation. We</x:v>
      </x:c>
      <x:c r="L342" s="16" t="str">
        <x:v>A source-linked excerpt and locator are supplied as review leads for auditability.</x:v>
      </x:c>
      <x:c r="M342" s="16" t="str">
        <x:v>Mark only observable lifecycle actions or outputs. Reporting and audit requires explicit packaging, routing, disclosure, or audit transition; a report name alone is insufficient.</x:v>
      </x:c>
      <x:c r="N342" s="16" t="str">
        <x:v>candidate analysis;execution observation;patch validation</x:v>
      </x:c>
      <x:c r="O342" s="16" t="str">
        <x:v>The cited source supports the selected label candidate analysis;execution observation;patch validation; only observable workflow actions or outputs were retained.</x:v>
      </x:c>
      <x:c r="P342" s="16" t="str">
        <x:v>https://arxiv.org/pdf/2603.02297 | role p.2; action p.2; feedback p.2; validation p.1; evaluation p.2</x:v>
      </x:c>
      <x:c r="Q342" s="16" t="str">
        <x:v>no</x:v>
      </x:c>
      <x:c r="R342" s="11" t="str"/>
      <x:c r="S342" s="11" t="str">
        <x:v>2026-08-12</x:v>
      </x:c>
      <x:c r="T342" s="18" t="str">
        <x:f>IF(OR(AND(N342="unresolved",LEN(O342)&gt;0,LEN(P342)&gt;0,Q342="yes"),AND(LEN(N342)&gt;0,LEN(O342)&gt;0,LEN(P342)&gt;0,OR(Q342="yes",Q342="no"))),"ready","pending")</x:f>
        <x:v>ready</x:v>
      </x:c>
    </x:row>
    <x:row r="343" ht="44" customHeight="1">
      <x:c r="A343" s="10" t="str">
        <x:v>FMS1640__primary_shape</x:v>
      </x:c>
      <x:c r="B343" s="11" t="str">
        <x:v>FMS1640</x:v>
      </x:c>
      <x:c r="C343" s="11" t="str">
        <x:v>final_multisource_132</x:v>
      </x:c>
      <x:c r="D343" s="11" t="str">
        <x:v>ZeroDayBench: Evaluating LLM Agents on Unseen Zero-Day Vulnerabilities for Cyberdefense</x:v>
      </x:c>
      <x:c r="E343" s="11" t="str">
        <x:v>primary system shape</x:v>
      </x:c>
      <x:c r="F343" s="11" t="str">
        <x:v>single-label</x:v>
      </x:c>
      <x:c r="G343" s="11" t="str">
        <x:v>reproduction-, validation-, and repair-centered agent</x:v>
      </x:c>
      <x:c r="H343" s="11" t="str">
        <x:v>long-horizon pentest and CRS agent</x:v>
      </x:c>
      <x:c r="I343" s="11" t="str">
        <x:v>source-linked lead</x:v>
      </x:c>
      <x:c r="J343" s="11" t="str">
        <x:v>https://arxiv.org/pdf/2603.02297 | role p.2; action p.2; feedback p.2; validation p.1; evaluation p.2</x:v>
      </x:c>
      <x:c r="K343" s="11" t="str">
        <x:v>• Existing benchmarks, (e.g., CyberGym), frequently incorporate vulnerabilities identified through automated tools like OSS-Fuzz. While these provide scale, they often consist of low-impact or minor bugs. Our benchmark is constructed exclusively from critical- severity Common Vulnerabilities and Exposures (CVEs). This ensures that the evaluation environment reflects high-stakes security scenarios where logic flaws and memory</x:v>
      </x:c>
      <x:c r="L343" s="16" t="str">
        <x:v>A source-linked excerpt and locator are supplied as review leads for auditability.</x:v>
      </x:c>
      <x:c r="M343" s="16" t="str">
        <x:v>Choose the dominant locus and objective of agent control in the main evaluated contribution. Use the evaluation task and primary metrics to resolve ties; do not infer from agent count or system name.</x:v>
      </x:c>
      <x:c r="N343" s="16" t="str">
        <x:v>reproduction-, validation-, and repair-centered agent</x:v>
      </x:c>
      <x:c r="O343" s="16" t="str">
        <x:v>The cited source supports the selected label reproduction-, validation-, and repair-centered agent as the dominant evaluated locus and objective of agent control.</x:v>
      </x:c>
      <x:c r="P343" s="16" t="str">
        <x:v>https://arxiv.org/pdf/2603.02297 | role p.2; action p.2; feedback p.2; validation p.1; evaluation p.2</x:v>
      </x:c>
      <x:c r="Q343" s="16" t="str">
        <x:v>no</x:v>
      </x:c>
      <x:c r="R343" s="11" t="str"/>
      <x:c r="S343" s="11" t="str">
        <x:v>2026-08-12</x:v>
      </x:c>
      <x:c r="T343" s="18" t="str">
        <x:f>IF(OR(AND(N343="unresolved",LEN(O343)&gt;0,LEN(P343)&gt;0,Q343="yes"),AND(LEN(N343)&gt;0,LEN(O343)&gt;0,LEN(P343)&gt;0,OR(Q343="yes",Q343="no"))),"ready","pending")</x:f>
        <x:v>ready</x:v>
      </x:c>
    </x:row>
    <x:row r="344" ht="44" customHeight="1">
      <x:c r="A344" s="10" t="str">
        <x:v>FMS1640__principal_evidence</x:v>
      </x:c>
      <x:c r="B344" s="11" t="str">
        <x:v>FMS1640</x:v>
      </x:c>
      <x:c r="C344" s="11" t="str">
        <x:v>final_multisource_132</x:v>
      </x:c>
      <x:c r="D344" s="11" t="str">
        <x:v>ZeroDayBench: Evaluating LLM Agents on Unseen Zero-Day Vulnerabilities for Cyberdefense</x:v>
      </x:c>
      <x:c r="E344" s="11" t="str">
        <x:v>principal reported evidence output</x:v>
      </x:c>
      <x:c r="F344" s="11" t="str">
        <x:v>single-label</x:v>
      </x:c>
      <x:c r="G344" s="11" t="str">
        <x:v>reproducible validation</x:v>
      </x:c>
      <x:c r="H344" s="11" t="str">
        <x:v>controlled task completion</x:v>
      </x:c>
      <x:c r="I344" s="11" t="str">
        <x:v>source-linked lead</x:v>
      </x:c>
      <x:c r="J344" s="11" t="str">
        <x:v>https://arxiv.org/pdf/2603.02297 | role p.2; action p.2; feedback p.2; validation p.1; evaluation p.2</x:v>
      </x:c>
      <x:c r="K344" s="11" t="str">
        <x:v>al-world production codebases. Rather than evaluating the ability to exploit or reproduce vulnerabilities, we focus on the ability to patch them. We port real CVEs into different but functionally similar codebases to inject novel vulnerabilities absent from training data to ensure results reflect capabilities from LLMs rather than</x:v>
      </x:c>
      <x:c r="L344" s="16" t="str">
        <x:v>A source-linked excerpt and locator are supplied as review leads for auditability.</x:v>
      </x:c>
      <x:c r="M344" s="16" t="str">
        <x:v>Select the observable result most directly supporting the main finding. Benchmark ground truth or aggregate CVE counts do not automatically establish externally traceable material.</x:v>
      </x:c>
      <x:c r="N344" s="16" t="str">
        <x:v>reproducible validation</x:v>
      </x:c>
      <x:c r="O344" s="16" t="str">
        <x:v>The cited source supports the selected label reproducible validation as the main observable result reported for the study.</x:v>
      </x:c>
      <x:c r="P344" s="16" t="str">
        <x:v>https://arxiv.org/pdf/2603.02297 | role p.2; action p.2; feedback p.2; validation p.1; evaluation p.2</x:v>
      </x:c>
      <x:c r="Q344" s="16" t="str">
        <x:v>no</x:v>
      </x:c>
      <x:c r="R344" s="11" t="str"/>
      <x:c r="S344" s="11" t="str">
        <x:v>2026-08-12</x:v>
      </x:c>
      <x:c r="T344" s="18" t="str">
        <x:f>IF(OR(AND(N344="unresolved",LEN(O344)&gt;0,LEN(P344)&gt;0,Q344="yes"),AND(LEN(N344)&gt;0,LEN(O344)&gt;0,LEN(P344)&gt;0,OR(Q344="yes",Q344="no"))),"ready","pending")</x:f>
        <x:v>ready</x:v>
      </x:c>
    </x:row>
    <x:row r="345" ht="44" customHeight="1">
      <x:c r="A345" s="10" t="str">
        <x:v>FMS0206__principal_evidence</x:v>
      </x:c>
      <x:c r="B345" s="11" t="str">
        <x:v>FMS0206</x:v>
      </x:c>
      <x:c r="C345" s="11" t="str">
        <x:v>final_multisource_132</x:v>
      </x:c>
      <x:c r="D345" s="11" t="str">
        <x:v>Antiproof: Synthesizing Vulnerability Detectors and Proofs of Exploitability</x:v>
      </x:c>
      <x:c r="E345" s="11" t="str">
        <x:v>principal reported evidence output</x:v>
      </x:c>
      <x:c r="F345" s="11" t="str">
        <x:v>single-label</x:v>
      </x:c>
      <x:c r="G345" s="11" t="str">
        <x:v>reproducible validation</x:v>
      </x:c>
      <x:c r="H345" s="11" t="str">
        <x:v>externally traceable material</x:v>
      </x:c>
      <x:c r="I345" s="11" t="str">
        <x:v>source-linked lead</x:v>
      </x:c>
      <x:c r="J345" s="11" t="str">
        <x:v>https://arxiv.org/pdf/2607.12316 | role p.1; action p.1; feedback p.1; validation p.1; evaluation p.2</x:v>
      </x:c>
      <x:c r="K345" s="11" t="str">
        <x:v>Iterative Refinement them requires high recall and reliable automatic validation, but existing approaches struggle to achieve both without pro- hibitive cost. We present Antiproof, an end-to-end vulnerability discovery system that combines neuro-symbolic detector synthe-</x:v>
      </x:c>
      <x:c r="L345" s="16" t="str">
        <x:v>A source-linked excerpt and locator are supplied as review leads for auditability.</x:v>
      </x:c>
      <x:c r="M345" s="16" t="str">
        <x:v>Select the observable result most directly supporting the main finding. Benchmark ground truth or aggregate CVE counts do not automatically establish externally traceable material.</x:v>
      </x:c>
      <x:c r="N345" s="16" t="str">
        <x:v>reproducible validation</x:v>
      </x:c>
      <x:c r="O345" s="16" t="str">
        <x:v>The cited source supports the selected label reproducible validation as the main observable result reported for the study.</x:v>
      </x:c>
      <x:c r="P345" s="16" t="str">
        <x:v>https://arxiv.org/pdf/2607.12316 | role p.1; action p.1; feedback p.1; validation p.1; evaluation p.2</x:v>
      </x:c>
      <x:c r="Q345" s="16" t="str">
        <x:v>no</x:v>
      </x:c>
      <x:c r="R345" s="11" t="str"/>
      <x:c r="S345" s="11" t="str">
        <x:v>2026-08-12</x:v>
      </x:c>
      <x:c r="T345" s="18" t="str">
        <x:f>IF(OR(AND(N345="unresolved",LEN(O345)&gt;0,LEN(P345)&gt;0,Q345="yes"),AND(LEN(N345)&gt;0,LEN(O345)&gt;0,LEN(P345)&gt;0,OR(Q345="yes",Q345="no"))),"ready","pending")</x:f>
        <x:v>ready</x:v>
      </x:c>
    </x:row>
    <x:row r="346" ht="44" customHeight="1">
      <x:c r="A346" s="10" t="str">
        <x:v>FMS0206__external_traceability</x:v>
      </x:c>
      <x:c r="B346" s="11" t="str">
        <x:v>FMS0206</x:v>
      </x:c>
      <x:c r="C346" s="11" t="str">
        <x:v>final_multisource_132</x:v>
      </x:c>
      <x:c r="D346" s="11" t="str">
        <x:v>Antiproof: Synthesizing Vulnerability Detectors and Proofs of Exploitability</x:v>
      </x:c>
      <x:c r="E346" s="11" t="str">
        <x:v>external traceability</x:v>
      </x:c>
      <x:c r="F346" s="11" t="str">
        <x:v>single-label</x:v>
      </x:c>
      <x:c r="G346" s="11" t="str">
        <x:v>author-reported external clue</x:v>
      </x:c>
      <x:c r="H346" s="11" t="str">
        <x:v>publicly aligned external trace</x:v>
      </x:c>
      <x:c r="I346" s="11" t="str">
        <x:v>source-linked lead</x:v>
      </x:c>
      <x:c r="J346" s="11" t="str">
        <x:v>https://arxiv.org/pdf/2607.12316 | role p.1; action p.1; feedback p.1; validation p.1; evaluation p.2</x:v>
      </x:c>
      <x:c r="K346" s="11" t="str">
        <x:v>LLMs become more capable. must capture the underlying vulnerability pattern We evaluate Antiproof on known-vulnerability bench- rather than overfit to a specific vulnerability or marks and real-world zero-day discovery. We curate project. Overly specific detectors may miss variants KEVBench, a dataset of CISA Known Exploited Vulner- of the vulnerability class (low recall), while</x:v>
      </x:c>
      <x:c r="L346" s="16" t="str">
        <x:v>A source-linked excerpt and locator are supplied as review leads for auditability.</x:v>
      </x:c>
      <x:c r="M346" s="16" t="str">
        <x:v>Code separately from principal output. Only item-level alignment between a concrete system result and a specific public external record qualifies as publicly aligned external trace.</x:v>
      </x:c>
      <x:c r="N346" s="16" t="str">
        <x:v>author-reported external clue</x:v>
      </x:c>
      <x:c r="O346" s="16" t="str">
        <x:v>The cited source supports the selected label author-reported external clue under the codebook's item-level public-record alignment criterion.</x:v>
      </x:c>
      <x:c r="P346" s="16" t="str">
        <x:v>https://arxiv.org/pdf/2607.12316 | role p.1; action p.1; feedback p.1; validation p.1; evaluation p.2</x:v>
      </x:c>
      <x:c r="Q346" s="16" t="str">
        <x:v>no</x:v>
      </x:c>
      <x:c r="R346" s="11" t="str"/>
      <x:c r="S346" s="11" t="str">
        <x:v>2026-08-12</x:v>
      </x:c>
      <x:c r="T346" s="18" t="str">
        <x:f>IF(OR(AND(N346="unresolved",LEN(O346)&gt;0,LEN(P346)&gt;0,Q346="yes"),AND(LEN(N346)&gt;0,LEN(O346)&gt;0,LEN(P346)&gt;0,OR(Q346="yes",Q346="no"))),"ready","pending")</x:f>
        <x:v>ready</x:v>
      </x:c>
    </x:row>
    <x:row r="347" ht="44" customHeight="1">
      <x:c r="A347" s="10" t="str">
        <x:v>FMS0258__lifecycle</x:v>
      </x:c>
      <x:c r="B347" s="11" t="str">
        <x:v>FMS0258</x:v>
      </x:c>
      <x:c r="C347" s="11" t="str">
        <x:v>final_multisource_132</x:v>
      </x:c>
      <x:c r="D347" s="11" t="str">
        <x:v>Automatic, Expressive, and Scalable Fuzzing with Stitching</x:v>
      </x:c>
      <x:c r="E347" s="11" t="str">
        <x:v>lifecycle coverage</x:v>
      </x:c>
      <x:c r="F347" s="11" t="str">
        <x:v>multi-label</x:v>
      </x:c>
      <x:c r="G347" s="11" t="str">
        <x:v>candidate analysis;execution observation;patch validation;path and input exploration;reporting and audit;reproduction and validation</x:v>
      </x:c>
      <x:c r="H347" s="11" t="str">
        <x:v>candidate analysis;execution observation;path and input exploration;reporting and audit;reproduction and validation</x:v>
      </x:c>
      <x:c r="I347" s="11" t="str">
        <x:v>source-linked lead</x:v>
      </x:c>
      <x:c r="J347" s="11" t="str">
        <x:v>https://arxiv.org/pdf/2602.18689 | role p.7; action p.1; feedback p.1; validation p.2; evaluation p.1</x:v>
      </x:c>
      <x:c r="K347" s="11" t="str">
        <x:v>reprocessor definitions. As a validation step, we require agnose mistakes in hindsight when presented with concrete the agent to synthesize a small test.cpp program that in- crashes, enabling automatic bug triage and specification re- cludes the identified headers and invokes a function from the pair.</x:v>
      </x:c>
      <x:c r="L347" s="16" t="str">
        <x:v>A source-linked excerpt and locator are supplied as review leads for auditability.</x:v>
      </x:c>
      <x:c r="M347" s="16" t="str">
        <x:v>Mark only observable lifecycle actions or outputs. Reporting and audit requires explicit packaging, routing, disclosure, or audit transition; a report name alone is insufficient.</x:v>
      </x:c>
      <x:c r="N347" s="16" t="str">
        <x:v>candidate analysis;path and input exploration;execution observation;reproduction and validation;patch validation;reporting and audit</x:v>
      </x:c>
      <x:c r="O347" s="16" t="str">
        <x:v>The cited source supports the selected label candidate analysis;path and input exploration;execution observation;reproduction and validation;patch validation;reporting and audit; only observable workflow actions or outputs were retained.</x:v>
      </x:c>
      <x:c r="P347" s="16" t="str">
        <x:v>https://arxiv.org/pdf/2602.18689 | role p.7; action p.1; feedback p.1; validation p.2; evaluation p.1</x:v>
      </x:c>
      <x:c r="Q347" s="16" t="str">
        <x:v>no</x:v>
      </x:c>
      <x:c r="R347" s="11" t="str"/>
      <x:c r="S347" s="11" t="str">
        <x:v>2026-08-12</x:v>
      </x:c>
      <x:c r="T347" s="18" t="str">
        <x:f>IF(OR(AND(N347="unresolved",LEN(O347)&gt;0,LEN(P347)&gt;0,Q347="yes"),AND(LEN(N347)&gt;0,LEN(O347)&gt;0,LEN(P347)&gt;0,OR(Q347="yes",Q347="no"))),"ready","pending")</x:f>
        <x:v>ready</x:v>
      </x:c>
    </x:row>
    <x:row r="348" ht="44" customHeight="1">
      <x:c r="A348" s="10" t="str">
        <x:v>FMS0494__lifecycle</x:v>
      </x:c>
      <x:c r="B348" s="11" t="str">
        <x:v>FMS0494</x:v>
      </x:c>
      <x:c r="C348" s="11" t="str">
        <x:v>final_multisource_132</x:v>
      </x:c>
      <x:c r="D348" s="11" t="str">
        <x:v>CyberChainBench: Can AI Agents Secure Smart Contracts Against Real-World On-Chain Vulnerabilities?</x:v>
      </x:c>
      <x:c r="E348" s="11" t="str">
        <x:v>lifecycle coverage</x:v>
      </x:c>
      <x:c r="F348" s="11" t="str">
        <x:v>multi-label</x:v>
      </x:c>
      <x:c r="G348" s="11" t="str">
        <x:v>candidate analysis;execution observation;patch validation;path and input exploration;reproduction and validation</x:v>
      </x:c>
      <x:c r="H348" s="11" t="str">
        <x:v>candidate analysis;execution observation;patch validation;path and input exploration;reporting and audit;reproduction and validation</x:v>
      </x:c>
      <x:c r="I348" s="11" t="str">
        <x:v>source-linked lead</x:v>
      </x:c>
      <x:c r="J348" s="11" t="str">
        <x:v>https://arxiv.org/pdf/2606.26216 | role p.1; action p.1; feedback p.3; validation p.1; evaluation p.1</x:v>
      </x:c>
      <x:c r="K348" s="11" t="str">
        <x:v>attackers. Smart contract security is therefore a demanding target for coding agents: a successful system must not only read unfamiliar Solidity code, but also reason about protocol invariants, financial impact, cross-contract composability, and adversarial</x:v>
      </x:c>
      <x:c r="L348" s="16" t="str">
        <x:v>A source-linked excerpt and locator are supplied as review leads for auditability.</x:v>
      </x:c>
      <x:c r="M348" s="16" t="str">
        <x:v>Mark only observable lifecycle actions or outputs. Reporting and audit requires explicit packaging, routing, disclosure, or audit transition; a report name alone is insufficient.</x:v>
      </x:c>
      <x:c r="N348" s="16" t="str">
        <x:v>candidate analysis;path and input exploration;execution observation;reproduction and validation;patch validation</x:v>
      </x:c>
      <x:c r="O348" s="16" t="str">
        <x:v>The cited source supports the selected label candidate analysis;path and input exploration;execution observation;reproduction and validation;patch validation; only observable workflow actions or outputs were retained.</x:v>
      </x:c>
      <x:c r="P348" s="16" t="str">
        <x:v>https://arxiv.org/pdf/2606.26216 | role p.1; action p.1; feedback p.3; validation p.1; evaluation p.1</x:v>
      </x:c>
      <x:c r="Q348" s="16" t="str">
        <x:v>no</x:v>
      </x:c>
      <x:c r="R348" s="11" t="str"/>
      <x:c r="S348" s="11" t="str">
        <x:v>2026-08-12</x:v>
      </x:c>
      <x:c r="T348" s="18" t="str">
        <x:f>IF(OR(AND(N348="unresolved",LEN(O348)&gt;0,LEN(P348)&gt;0,Q348="yes"),AND(LEN(N348)&gt;0,LEN(O348)&gt;0,LEN(P348)&gt;0,OR(Q348="yes",Q348="no"))),"ready","pending")</x:f>
        <x:v>ready</x:v>
      </x:c>
    </x:row>
    <x:row r="349" ht="44" customHeight="1">
      <x:c r="A349" s="10" t="str">
        <x:v>FMS0651__capability</x:v>
      </x:c>
      <x:c r="B349" s="11" t="str">
        <x:v>FMS0651</x:v>
      </x:c>
      <x:c r="C349" s="11" t="str">
        <x:v>final_multisource_132</x:v>
      </x:c>
      <x:c r="D349" s="11" t="str">
        <x:v>Favia: Forensic Agent for Vulnerability-fix Identification and Analysis</x:v>
      </x:c>
      <x:c r="E349" s="11" t="str">
        <x:v>cross-stage capability</x:v>
      </x:c>
      <x:c r="F349" s="11" t="str">
        <x:v>multi-label</x:v>
      </x:c>
      <x:c r="G349" s="11" t="str">
        <x:v>context aggregation / rule extraction;feedback interpretation / loop adjustment;long-horizon state management;tool routing / strategy routing</x:v>
      </x:c>
      <x:c r="H349" s="11" t="str">
        <x:v>context aggregation / rule extraction;feedback interpretation / loop adjustment;tool routing / strategy routing;validation organization / evidence packaging</x:v>
      </x:c>
      <x:c r="I349" s="11" t="str">
        <x:v>source-linked lead</x:v>
      </x:c>
      <x:c r="J349" s="11" t="str">
        <x:v>https://arxiv.org/pdf/2602.12500 | role p.1; action p.1; feedback p.8; validation p.7; evaluation p.1</x:v>
      </x:c>
      <x:c r="K349" s="11" t="str">
        <x:v>al., 2023) framework, which integrates reasoning and acting in a unified agent architecture. ReAct enables the agent to iteratively decompose complex evaluation tasks into subgoals, alternating between chain-of-thought reasoning and tool-based interactions. This allows the agent to simulate human-like analysis, retrieve relevant context, and dynamically refine its understanding. Specifically, we implement the agent using the smolagents (Roucher et al., 2025) library from Hugging Face (2</x:v>
      </x:c>
      <x:c r="L349" s="16" t="str">
        <x:v>A source-linked excerpt and locator are supplied as review leads for auditability.</x:v>
      </x:c>
      <x:c r="M349" s="16" t="str">
        <x:v>Require an explicit cross-stage connection. Information must guide later action; feedback must alter later action; packaging must assemble prior outputs; governance must enforce an actual gate.</x:v>
      </x:c>
      <x:c r="N349" s="16" t="str">
        <x:v>context aggregation / rule extraction;tool routing / strategy routing;feedback interpretation / loop adjustment;long-horizon state management</x:v>
      </x:c>
      <x:c r="O349"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349" s="16" t="str">
        <x:v>https://arxiv.org/pdf/2602.12500 | role p.1; action p.1; feedback p.8; validation p.7; evaluation p.1</x:v>
      </x:c>
      <x:c r="Q349" s="16" t="str">
        <x:v>no</x:v>
      </x:c>
      <x:c r="R349" s="11" t="str"/>
      <x:c r="S349" s="11" t="str">
        <x:v>2026-08-12</x:v>
      </x:c>
      <x:c r="T349" s="18" t="str">
        <x:f>IF(OR(AND(N349="unresolved",LEN(O349)&gt;0,LEN(P349)&gt;0,Q349="yes"),AND(LEN(N349)&gt;0,LEN(O349)&gt;0,LEN(P349)&gt;0,OR(Q349="yes",Q349="no"))),"ready","pending")</x:f>
        <x:v>ready</x:v>
      </x:c>
    </x:row>
    <x:row r="350" ht="44" customHeight="1">
      <x:c r="A350" s="10" t="str">
        <x:v>FMS0968__lifecycle</x:v>
      </x:c>
      <x:c r="B350" s="11" t="str">
        <x:v>FMS0968</x:v>
      </x:c>
      <x:c r="C350" s="11" t="str">
        <x:v>final_multisource_132</x:v>
      </x:c>
      <x:c r="D350" s="11" t="str">
        <x:v>Mastermind: Strategy-grounded Learning for Repository-Scale Vulnerability Reproduction</x:v>
      </x:c>
      <x:c r="E350" s="11" t="str">
        <x:v>lifecycle coverage</x:v>
      </x:c>
      <x:c r="F350" s="11" t="str">
        <x:v>multi-label</x:v>
      </x:c>
      <x:c r="G350" s="11" t="str">
        <x:v>execution observation;patch validation;path and input exploration;reproduction and validation</x:v>
      </x:c>
      <x:c r="H350" s="11" t="str">
        <x:v>candidate analysis;execution observation;patch validation;path and input exploration;reproduction and validation</x:v>
      </x:c>
      <x:c r="I350" s="11" t="str">
        <x:v>source-linked lead</x:v>
      </x:c>
      <x:c r="J350" s="11" t="str">
        <x:v>https://arxiv.org/pdf/2607.01764 | role p.1; action p.1; feedback p.1; validation p.1; evaluation p.1</x:v>
      </x:c>
      <x:c r="K350" s="11" t="str">
        <x:v>Policy Loop crash disappears on the patched build. Recent LLM agents strategy = planner.generate(experience) can often execute these steps when the approach is correct,</x:v>
      </x:c>
      <x:c r="L350" s="16" t="str">
        <x:v>A source-linked excerpt and locator are supplied as review leads for auditability.</x:v>
      </x:c>
      <x:c r="M350" s="16" t="str">
        <x:v>Mark only observable lifecycle actions or outputs. Reporting and audit requires explicit packaging, routing, disclosure, or audit transition; a report name alone is insufficient.</x:v>
      </x:c>
      <x:c r="N350" s="16" t="str">
        <x:v>path and input exploration;execution observation;reproduction and validation;patch validation</x:v>
      </x:c>
      <x:c r="O350" s="16" t="str">
        <x:v>The cited source supports the selected label path and input exploration;execution observation;reproduction and validation;patch validation; only observable workflow actions or outputs were retained.</x:v>
      </x:c>
      <x:c r="P350" s="16" t="str">
        <x:v>https://arxiv.org/pdf/2607.01764 | role p.1; action p.1; feedback p.1; validation p.1; evaluation p.1</x:v>
      </x:c>
      <x:c r="Q350" s="16" t="str">
        <x:v>no</x:v>
      </x:c>
      <x:c r="R350" s="11" t="str"/>
      <x:c r="S350" s="11" t="str">
        <x:v>2026-08-12</x:v>
      </x:c>
      <x:c r="T350" s="18" t="str">
        <x:f>IF(OR(AND(N350="unresolved",LEN(O350)&gt;0,LEN(P350)&gt;0,Q350="yes"),AND(LEN(N350)&gt;0,LEN(O350)&gt;0,LEN(P350)&gt;0,OR(Q350="yes",Q350="no"))),"ready","pending")</x:f>
        <x:v>ready</x:v>
      </x:c>
    </x:row>
    <x:row r="351" ht="44" customHeight="1">
      <x:c r="A351" s="10" t="str">
        <x:v>FMS1299__primary_shape</x:v>
      </x:c>
      <x:c r="B351" s="11" t="str">
        <x:v>FMS1299</x:v>
      </x:c>
      <x:c r="C351" s="11" t="str">
        <x:v>final_multisource_132</x:v>
      </x:c>
      <x:c r="D351" s="11" t="str">
        <x:v>Security in a Workflow: Exploring Role-Based Agentic Architectures for Vulnerability Handling</x:v>
      </x:c>
      <x:c r="E351" s="11" t="str">
        <x:v>primary system shape</x:v>
      </x:c>
      <x:c r="F351" s="11" t="str">
        <x:v>single-label</x:v>
      </x:c>
      <x:c r="G351" s="11" t="str">
        <x:v>long-horizon pentest and CRS agent</x:v>
      </x:c>
      <x:c r="H351" s="11" t="str">
        <x:v>reproduction-, validation-, and repair-centered agent</x:v>
      </x:c>
      <x:c r="I351" s="11" t="str">
        <x:v>source-linked lead</x:v>
      </x:c>
      <x:c r="J351" s="11" t="str">
        <x:v>https://arxiv.org/pdf/2606.14261 | role p.1; action p.1; feedback p.2; validation p.3; evaluation p.1</x:v>
      </x:c>
      <x:c r="K351" s="11" t="str">
        <x:v>, Fixer, and Verifier roles. To explore the effect of static- analysis tool, the analyzer agent was integrated with the CodeQL in one of the workflows. The models used include nemotron-cascade-2:30b, qwen3-coder-next, and gpt-oss:120b. Our evaluation uses 25 real-world</x:v>
      </x:c>
      <x:c r="L351" s="16" t="str">
        <x:v>A source-linked excerpt and locator are supplied as review leads for auditability.</x:v>
      </x:c>
      <x:c r="M351" s="16" t="str">
        <x:v>Choose the dominant locus and objective of agent control in the main evaluated contribution. Use the evaluation task and primary metrics to resolve ties; do not infer from agent count or system name.</x:v>
      </x:c>
      <x:c r="N351" s="16" t="str">
        <x:v>long-horizon pentest and CRS agent</x:v>
      </x:c>
      <x:c r="O351" s="16" t="str">
        <x:v>The cited source supports the selected label long-horizon pentest and CRS agent as the dominant evaluated locus and objective of agent control.</x:v>
      </x:c>
      <x:c r="P351" s="16" t="str">
        <x:v>https://arxiv.org/pdf/2606.14261 | role p.1; action p.1; feedback p.2; validation p.3; evaluation p.1</x:v>
      </x:c>
      <x:c r="Q351" s="16" t="str">
        <x:v>no</x:v>
      </x:c>
      <x:c r="R351" s="11" t="str"/>
      <x:c r="S351" s="11" t="str">
        <x:v>2026-08-12</x:v>
      </x:c>
      <x:c r="T351" s="18" t="str">
        <x:f>IF(OR(AND(N351="unresolved",LEN(O351)&gt;0,LEN(P351)&gt;0,Q351="yes"),AND(LEN(N351)&gt;0,LEN(O351)&gt;0,LEN(P351)&gt;0,OR(Q351="yes",Q351="no"))),"ready","pending")</x:f>
        <x:v>ready</x:v>
      </x:c>
    </x:row>
    <x:row r="352" ht="44" customHeight="1">
      <x:c r="A352" s="10" t="str">
        <x:v>FMS1299__principal_evidence</x:v>
      </x:c>
      <x:c r="B352" s="11" t="str">
        <x:v>FMS1299</x:v>
      </x:c>
      <x:c r="C352" s="11" t="str">
        <x:v>final_multisource_132</x:v>
      </x:c>
      <x:c r="D352" s="11" t="str">
        <x:v>Security in a Workflow: Exploring Role-Based Agentic Architectures for Vulnerability Handling</x:v>
      </x:c>
      <x:c r="E352" s="11" t="str">
        <x:v>principal reported evidence output</x:v>
      </x:c>
      <x:c r="F352" s="11" t="str">
        <x:v>single-label</x:v>
      </x:c>
      <x:c r="G352" s="11" t="str">
        <x:v>controlled task completion</x:v>
      </x:c>
      <x:c r="H352" s="11" t="str">
        <x:v>candidate judgment</x:v>
      </x:c>
      <x:c r="I352" s="11" t="str">
        <x:v>source-linked lead</x:v>
      </x:c>
      <x:c r="J352" s="11" t="str">
        <x:v>https://arxiv.org/pdf/2606.14261 | role p.1; action p.1; feedback p.2; validation p.3; evaluation p.1</x:v>
      </x:c>
      <x:c r="K352" s="11" t="str">
        <x:v>ts. Also the CrewAI framework code with agent flows, prompt designs, etc., is provided as an open research material for reproducibility. Beyond empirical comparison, we discuss the implications of such workflows for secure software engineering, in- cluding the continuous need for human-in-the-loop oversight in security-critical settings. 2 Related Work Recent work has shown growing interest in LLM-based multi-agent systems for software engineering more broadly. He et al. [8] pro</x:v>
      </x:c>
      <x:c r="L352" s="16" t="str">
        <x:v>A source-linked excerpt and locator are supplied as review leads for auditability.</x:v>
      </x:c>
      <x:c r="M352" s="16" t="str">
        <x:v>Select the observable result most directly supporting the main finding. Benchmark ground truth or aggregate CVE counts do not automatically establish externally traceable material.</x:v>
      </x:c>
      <x:c r="N352" s="16" t="str">
        <x:v>controlled task completion</x:v>
      </x:c>
      <x:c r="O352" s="16" t="str">
        <x:v>The cited source supports the selected label controlled task completion as the main observable result reported for the study.</x:v>
      </x:c>
      <x:c r="P352" s="16" t="str">
        <x:v>https://arxiv.org/pdf/2606.14261 | role p.1; action p.1; feedback p.2; validation p.3; evaluation p.1</x:v>
      </x:c>
      <x:c r="Q352" s="16" t="str">
        <x:v>no</x:v>
      </x:c>
      <x:c r="R352" s="11" t="str"/>
      <x:c r="S352" s="11" t="str">
        <x:v>2026-08-12</x:v>
      </x:c>
      <x:c r="T352" s="18" t="str">
        <x:f>IF(OR(AND(N352="unresolved",LEN(O352)&gt;0,LEN(P352)&gt;0,Q352="yes"),AND(LEN(N352)&gt;0,LEN(O352)&gt;0,LEN(P352)&gt;0,OR(Q352="yes",Q352="no"))),"ready","pending")</x:f>
        <x:v>ready</x:v>
      </x:c>
    </x:row>
    <x:row r="353" ht="44" customHeight="1">
      <x:c r="A353" s="10" t="str">
        <x:v>FMS1571__capability</x:v>
      </x:c>
      <x:c r="B353" s="11" t="str">
        <x:v>FMS1571</x:v>
      </x:c>
      <x:c r="C353" s="11" t="str">
        <x:v>final_multisource_132</x:v>
      </x:c>
      <x:c r="D353" s="11" t="str">
        <x:v>VEXAIoT: Autonomous IoT Vulnerability EXploitation using AI Agents</x:v>
      </x:c>
      <x:c r="E353" s="11" t="str">
        <x:v>cross-stage capability</x:v>
      </x:c>
      <x:c r="F353" s="11" t="str">
        <x:v>multi-label</x:v>
      </x:c>
      <x:c r="G353" s="11" t="str">
        <x:v>context aggregation / rule extraction;feedback interpretation / loop adjustment;long-horizon state management;tool routing / strategy routing;validation organization / evidence packaging</x:v>
      </x:c>
      <x:c r="H353" s="11" t="str">
        <x:v>context aggregation / rule extraction;failure reuse / strategy update;feedback interpretation / loop adjustment;long-horizon state management;tool routing / strategy routing;validation organization / evidence packaging</x:v>
      </x:c>
      <x:c r="I353" s="11" t="str">
        <x:v>source-linked lead</x:v>
      </x:c>
      <x:c r="J353" s="11" t="str">
        <x:v>https://arxiv.org/pdf/2607.09653 | role p.1; action p.1; feedback p.1; validation p.3; evaluation p.1</x:v>
      </x:c>
      <x:c r="K353" s="11" t="str">
        <x:v>and resource-heavy [3]. This can lead to problems such as ronmental feedback during offensive security tasks. However, unauthorized access to stored information or eavesdropping much of the existing work focuses on solving predefined on communications that include sensitive information like CTF challenges or executing highly spec</x:v>
      </x:c>
      <x:c r="L353" s="16" t="str">
        <x:v>A source-linked excerpt and locator are supplied as review leads for auditability.</x:v>
      </x:c>
      <x:c r="M353" s="16" t="str">
        <x:v>Require an explicit cross-stage connection. Information must guide later action; feedback must alter later action; packaging must assemble prior outputs; governance must enforce an actual gate.</x:v>
      </x:c>
      <x:c r="N353" s="16" t="str">
        <x:v>context aggregation / rule extraction;tool routing / strategy routing;feedback interpretation / loop adjustment;validation organization / evidence packaging;long-horizon state management</x:v>
      </x:c>
      <x:c r="O353" s="16" t="str">
        <x:v>The cited source supports the selected label context aggregation / rule extraction;tool routing / strategy routing;feedback interpretation / loop adjustment;validation organization / evidence packaging;long-horizon state management; each retained label requires an explicit connection that guides later action, feedback, packaging, or a gate.</x:v>
      </x:c>
      <x:c r="P353" s="16" t="str">
        <x:v>https://arxiv.org/pdf/2607.09653 | role p.1; action p.1; feedback p.1; validation p.3; evaluation p.1</x:v>
      </x:c>
      <x:c r="Q353" s="16" t="str">
        <x:v>no</x:v>
      </x:c>
      <x:c r="R353" s="11" t="str"/>
      <x:c r="S353" s="11" t="str">
        <x:v>2026-08-12</x:v>
      </x:c>
      <x:c r="T353" s="18" t="str">
        <x:f>IF(OR(AND(N353="unresolved",LEN(O353)&gt;0,LEN(P353)&gt;0,Q353="yes"),AND(LEN(N353)&gt;0,LEN(O353)&gt;0,LEN(P353)&gt;0,OR(Q353="yes",Q353="no"))),"ready","pending")</x:f>
        <x:v>ready</x:v>
      </x:c>
    </x:row>
    <x:row r="354" ht="44" customHeight="1">
      <x:c r="A354" s="10" t="str">
        <x:v>FMS0090__lifecycle</x:v>
      </x:c>
      <x:c r="B354" s="11" t="str">
        <x:v>FMS0090</x:v>
      </x:c>
      <x:c r="C354" s="11" t="str">
        <x:v>final_multisource_132</x:v>
      </x:c>
      <x:c r="D354" s="11" t="str">
        <x:v>A Systematic Study on Generating Web Vulnerability Proof-of-Concepts Using Large Language Models</x:v>
      </x:c>
      <x:c r="E354" s="11" t="str">
        <x:v>lifecycle coverage</x:v>
      </x:c>
      <x:c r="F354" s="11" t="str">
        <x:v>multi-label</x:v>
      </x:c>
      <x:c r="G354" s="11" t="str">
        <x:v>execution observation;path and input exploration;reproduction and validation</x:v>
      </x:c>
      <x:c r="H354" s="11" t="str">
        <x:v>candidate analysis;execution observation;path and input exploration;reporting and audit;reproduction and validation</x:v>
      </x:c>
      <x:c r="I354" s="11" t="str">
        <x:v>source-linked lead</x:v>
      </x:c>
      <x:c r="J354" s="11" t="str">
        <x:v>https://arxiv.org/pdf/2510.10148 | role p.1; action p.1; feedback p.2; validation p.1; evaluation p.1</x:v>
      </x:c>
      <x:c r="K354" s="11" t="str">
        <x:v>code available Patch, File disclosed CVEs leads to a natural question: can LLMs effectively use this information to automatically generate valid PoCs? Fig. 1. From disclosure to exploit: information availability and PoC impact.</x:v>
      </x:c>
      <x:c r="L354" s="16" t="str">
        <x:v>A source-linked excerpt and locator are supplied as review leads for auditability.</x:v>
      </x:c>
      <x:c r="M354" s="16" t="str">
        <x:v>Mark only observable lifecycle actions or outputs. Reporting and audit requires explicit packaging, routing, disclosure, or audit transition; a report name alone is insufficient.</x:v>
      </x:c>
      <x:c r="N354" s="16" t="str">
        <x:v>path and input exploration;execution observation;reproduction and validation</x:v>
      </x:c>
      <x:c r="O354" s="16" t="str">
        <x:v>The cited source supports the selected label path and input exploration;execution observation;reproduction and validation; only observable workflow actions or outputs were retained.</x:v>
      </x:c>
      <x:c r="P354" s="16" t="str">
        <x:v>https://arxiv.org/pdf/2510.10148 | role p.1; action p.1; feedback p.2; validation p.1; evaluation p.1</x:v>
      </x:c>
      <x:c r="Q354" s="16" t="str">
        <x:v>no</x:v>
      </x:c>
      <x:c r="R354" s="11" t="str"/>
      <x:c r="S354" s="11" t="str">
        <x:v>2026-08-12</x:v>
      </x:c>
      <x:c r="T354" s="18" t="str">
        <x:f>IF(OR(AND(N354="unresolved",LEN(O354)&gt;0,LEN(P354)&gt;0,Q354="yes"),AND(LEN(N354)&gt;0,LEN(O354)&gt;0,LEN(P354)&gt;0,OR(Q354="yes",Q354="no"))),"ready","pending")</x:f>
        <x:v>ready</x:v>
      </x:c>
    </x:row>
    <x:row r="355" ht="44" customHeight="1">
      <x:c r="A355" s="10" t="str">
        <x:v>FMS0090__capability</x:v>
      </x:c>
      <x:c r="B355" s="11" t="str">
        <x:v>FMS0090</x:v>
      </x:c>
      <x:c r="C355" s="11" t="str">
        <x:v>final_multisource_132</x:v>
      </x:c>
      <x:c r="D355" s="11" t="str">
        <x:v>A Systematic Study on Generating Web Vulnerability Proof-of-Concepts Using Large Language Models</x:v>
      </x:c>
      <x:c r="E355" s="11" t="str">
        <x:v>cross-stage capability</x:v>
      </x:c>
      <x:c r="F355" s="11" t="str">
        <x:v>multi-label</x:v>
      </x:c>
      <x:c r="G355" s="11" t="str">
        <x:v>context aggregation / rule extraction;feedback interpretation / loop adjustment;long-horizon state management;validation organization / evidence packaging</x:v>
      </x:c>
      <x:c r="H355" s="11" t="str">
        <x:v>context aggregation / rule extraction;failure reuse / strategy update;feedback interpretation / loop adjustment;validation organization / evidence packaging</x:v>
      </x:c>
      <x:c r="I355" s="11" t="str">
        <x:v>source-linked lead</x:v>
      </x:c>
      <x:c r="J355" s="11" t="str">
        <x:v>https://arxiv.org/pdf/2510.10148 | role p.1; action p.1; feedback p.2; validation p.1; evaluation p.1</x:v>
      </x:c>
      <x:c r="K355" s="11" t="str">
        <x:v>tion is guided by 4 research questions: (RQ1) How feedback mechanism to effectively unleash the potential of well can LLMs generate functional PoCs when limited to the LLMs; a curated benchmark comprising 100 reproducible public artifacts at each disclosure stage? (RQ2) What are the</x:v>
      </x:c>
      <x:c r="L355" s="16" t="str">
        <x:v>A source-linked excerpt and locator are supplied as review leads for auditability.</x:v>
      </x:c>
      <x:c r="M355" s="16" t="str">
        <x:v>Require an explicit cross-stage connection. Information must guide later action; feedback must alter later action; packaging must assemble prior outputs; governance must enforce an actual gate.</x:v>
      </x:c>
      <x:c r="N355" s="16" t="str">
        <x:v>context aggregation / rule extraction;feedback interpretation / loop adjustment;validation organization / evidence packaging;long-horizon state management</x:v>
      </x:c>
      <x:c r="O355" s="16" t="str">
        <x:v>The cited source supports the selected label context aggregation / rule extraction;feedback interpretation / loop adjustment;validation organization / evidence packaging;long-horizon state management; each retained label requires an explicit connection that guides later action, feedback, packaging, or a gate.</x:v>
      </x:c>
      <x:c r="P355" s="16" t="str">
        <x:v>https://arxiv.org/pdf/2510.10148 | role p.1; action p.1; feedback p.2; validation p.1; evaluation p.1</x:v>
      </x:c>
      <x:c r="Q355" s="16" t="str">
        <x:v>no</x:v>
      </x:c>
      <x:c r="R355" s="11" t="str"/>
      <x:c r="S355" s="11" t="str">
        <x:v>2026-08-12</x:v>
      </x:c>
      <x:c r="T355" s="18" t="str">
        <x:f>IF(OR(AND(N355="unresolved",LEN(O355)&gt;0,LEN(P355)&gt;0,Q355="yes"),AND(LEN(N355)&gt;0,LEN(O355)&gt;0,LEN(P355)&gt;0,OR(Q355="yes",Q355="no"))),"ready","pending")</x:f>
        <x:v>ready</x:v>
      </x:c>
    </x:row>
    <x:row r="356" ht="44" customHeight="1">
      <x:c r="A356" s="10" t="str">
        <x:v>FMS0090__principal_evidence</x:v>
      </x:c>
      <x:c r="B356" s="11" t="str">
        <x:v>FMS0090</x:v>
      </x:c>
      <x:c r="C356" s="11" t="str">
        <x:v>final_multisource_132</x:v>
      </x:c>
      <x:c r="D356" s="11" t="str">
        <x:v>A Systematic Study on Generating Web Vulnerability Proof-of-Concepts Using Large Language Models</x:v>
      </x:c>
      <x:c r="E356" s="11" t="str">
        <x:v>principal reported evidence output</x:v>
      </x:c>
      <x:c r="F356" s="11" t="str">
        <x:v>single-label</x:v>
      </x:c>
      <x:c r="G356" s="11" t="str">
        <x:v>reproducible validation</x:v>
      </x:c>
      <x:c r="H356" s="11" t="str">
        <x:v>externally traceable material</x:v>
      </x:c>
      <x:c r="I356" s="11" t="str">
        <x:v>source-linked lead</x:v>
      </x:c>
      <x:c r="J356" s="11" t="str">
        <x:v>https://arxiv.org/pdf/2510.10148 | role p.1; action p.1; feedback p.2; validation p.1; evaluation p.1</x:v>
      </x:c>
      <x:c r="K356" s="11" t="str">
        <x:v>ent advances in Large Language Models (LLMs) Stage in Security Public PoC have brought remarkable progress in code understanding and Lifecycle Information Impact reasoning, creating new opportunities and raising new concerns Pre-disclosure, or Initial v</x:v>
      </x:c>
      <x:c r="L356" s="16" t="str">
        <x:v>A source-linked excerpt and locator are supplied as review leads for auditability.</x:v>
      </x:c>
      <x:c r="M356" s="16" t="str">
        <x:v>Select the observable result most directly supporting the main finding. Benchmark ground truth or aggregate CVE counts do not automatically establish externally traceable material.</x:v>
      </x:c>
      <x:c r="N356" s="16" t="str">
        <x:v>reproducible validation</x:v>
      </x:c>
      <x:c r="O356" s="16" t="str">
        <x:v>The cited source supports the selected label reproducible validation as the main observable result reported for the study.</x:v>
      </x:c>
      <x:c r="P356" s="16" t="str">
        <x:v>https://arxiv.org/pdf/2510.10148 | role p.1; action p.1; feedback p.2; validation p.1; evaluation p.1</x:v>
      </x:c>
      <x:c r="Q356" s="16" t="str">
        <x:v>no</x:v>
      </x:c>
      <x:c r="R356" s="11" t="str"/>
      <x:c r="S356" s="11" t="str">
        <x:v>2026-08-12</x:v>
      </x:c>
      <x:c r="T356" s="18" t="str">
        <x:f>IF(OR(AND(N356="unresolved",LEN(O356)&gt;0,LEN(P356)&gt;0,Q356="yes"),AND(LEN(N356)&gt;0,LEN(O356)&gt;0,LEN(P356)&gt;0,OR(Q356="yes",Q356="no"))),"ready","pending")</x:f>
        <x:v>ready</x:v>
      </x:c>
    </x:row>
    <x:row r="357" ht="44" customHeight="1">
      <x:c r="A357" s="10" t="str">
        <x:v>FMS0090__external_traceability</x:v>
      </x:c>
      <x:c r="B357" s="11" t="str">
        <x:v>FMS0090</x:v>
      </x:c>
      <x:c r="C357" s="11" t="str">
        <x:v>final_multisource_132</x:v>
      </x:c>
      <x:c r="D357" s="11" t="str">
        <x:v>A Systematic Study on Generating Web Vulnerability Proof-of-Concepts Using Large Language Models</x:v>
      </x:c>
      <x:c r="E357" s="11" t="str">
        <x:v>external traceability</x:v>
      </x:c>
      <x:c r="F357" s="11" t="str">
        <x:v>single-label</x:v>
      </x:c>
      <x:c r="G357" s="11" t="str">
        <x:v>benchmark ground truth / public material</x:v>
      </x:c>
      <x:c r="H357" s="11" t="str">
        <x:v>publicly aligned external trace</x:v>
      </x:c>
      <x:c r="I357" s="11" t="str">
        <x:v>source-linked lead</x:v>
      </x:c>
      <x:c r="J357" s="11" t="str">
        <x:v>https://arxiv.org/pdf/2510.10148 | role p.1; action p.1; feedback p.2; validation p.1; evaluation p.1</x:v>
      </x:c>
      <x:c r="K357" s="11" t="str">
        <x:v>g on the practical feasibility of leveraging publicly dis- closed information. We evaluate GPT-4o and DeepSeek-R1 on of-Concept (PoC) is indispensable for validating vulnerability, 100 real-world and reproducible CVEs across three stages of enabling root-cause analysis, and supporting regression testing. vulnerability disclosure: (1) newly disclosed vuln</x:v>
      </x:c>
      <x:c r="L357" s="16" t="str">
        <x:v>A source-linked excerpt and locator are supplied as review leads for auditability.</x:v>
      </x:c>
      <x:c r="M357" s="16" t="str">
        <x:v>Code separately from principal output. Only item-level alignment between a concrete system result and a specific public external record qualifies as publicly aligned external trace.</x:v>
      </x:c>
      <x:c r="N357" s="16" t="str">
        <x:v>benchmark ground truth / public material</x:v>
      </x:c>
      <x:c r="O357" s="16" t="str">
        <x:v>The cited source supports the selected label benchmark ground truth / public material under the codebook's item-level public-record alignment criterion.</x:v>
      </x:c>
      <x:c r="P357" s="16" t="str">
        <x:v>https://arxiv.org/pdf/2510.10148 | role p.1; action p.1; feedback p.2; validation p.1; evaluation p.1</x:v>
      </x:c>
      <x:c r="Q357" s="16" t="str">
        <x:v>no</x:v>
      </x:c>
      <x:c r="R357" s="11" t="str"/>
      <x:c r="S357" s="11" t="str">
        <x:v>2026-08-12</x:v>
      </x:c>
      <x:c r="T357" s="18" t="str">
        <x:f>IF(OR(AND(N357="unresolved",LEN(O357)&gt;0,LEN(P357)&gt;0,Q357="yes"),AND(LEN(N357)&gt;0,LEN(O357)&gt;0,LEN(P357)&gt;0,OR(Q357="yes",Q357="no"))),"ready","pending")</x:f>
        <x:v>ready</x:v>
      </x:c>
    </x:row>
    <x:row r="358" ht="44" customHeight="1">
      <x:c r="A358" s="10" t="str">
        <x:v>FMS0100__lifecycle</x:v>
      </x:c>
      <x:c r="B358" s="11" t="str">
        <x:v>FMS0100</x:v>
      </x:c>
      <x:c r="C358" s="11" t="str">
        <x:v>final_multisource_132</x:v>
      </x:c>
      <x:c r="D358" s="11" t="str">
        <x:v>ACFIX: Guiding LLMs with Mined Common RBAC Practices for Context-Aware Repair of Access Control Vulnerabilities in Smart Contracts</x:v>
      </x:c>
      <x:c r="E358" s="11" t="str">
        <x:v>lifecycle coverage</x:v>
      </x:c>
      <x:c r="F358" s="11" t="str">
        <x:v>multi-label</x:v>
      </x:c>
      <x:c r="G358" s="11" t="str">
        <x:v>candidate analysis;execution observation;patch validation</x:v>
      </x:c>
      <x:c r="H358" s="11" t="str">
        <x:v>candidate analysis;execution observation;patch validation;reproduction and validation</x:v>
      </x:c>
      <x:c r="I358" s="11" t="str">
        <x:v>source-linked lead</x:v>
      </x:c>
      <x:c r="J358" s="11" t="str">
        <x:v>https://arxiv.org/pdf/2403.06838 | role p.1; action p.1; feedback p.4; validation p.2; evaluation p.1</x:v>
      </x:c>
      <x:c r="K358" s="11" t="str">
        <x:v>uide Ethainter [11], SPCon [12], AChecker [9], and SoMo [13]. LLMs in identifying the most appropriate role-permission pair Among these tools, SPCon distinguishes itself by analyzing for the subject contract and subsequently generating a suitable</x:v>
      </x:c>
      <x:c r="L358" s="16" t="str">
        <x:v>A source-linked excerpt and locator are supplied as review leads for auditability.</x:v>
      </x:c>
      <x:c r="M358" s="16" t="str">
        <x:v>Mark only observable lifecycle actions or outputs. Reporting and audit requires explicit packaging, routing, disclosure, or audit transition; a report name alone is insufficient.</x:v>
      </x:c>
      <x:c r="N358" s="16" t="str">
        <x:v>candidate analysis;execution observation;patch validation</x:v>
      </x:c>
      <x:c r="O358" s="16" t="str">
        <x:v>The cited source supports the selected label candidate analysis;execution observation;patch validation; only observable workflow actions or outputs were retained.</x:v>
      </x:c>
      <x:c r="P358" s="16" t="str">
        <x:v>https://arxiv.org/pdf/2403.06838 | role p.1; action p.1; feedback p.4; validation p.2; evaluation p.1</x:v>
      </x:c>
      <x:c r="Q358" s="16" t="str">
        <x:v>no</x:v>
      </x:c>
      <x:c r="R358" s="11" t="str"/>
      <x:c r="S358" s="11" t="str">
        <x:v>2026-08-12</x:v>
      </x:c>
      <x:c r="T358" s="18" t="str">
        <x:f>IF(OR(AND(N358="unresolved",LEN(O358)&gt;0,LEN(P358)&gt;0,Q358="yes"),AND(LEN(N358)&gt;0,LEN(O358)&gt;0,LEN(P358)&gt;0,OR(Q358="yes",Q358="no"))),"ready","pending")</x:f>
        <x:v>ready</x:v>
      </x:c>
    </x:row>
    <x:row r="359" ht="44" customHeight="1">
      <x:c r="A359" s="10" t="str">
        <x:v>FMS0297__lifecycle</x:v>
      </x:c>
      <x:c r="B359" s="11" t="str">
        <x:v>FMS0297</x:v>
      </x:c>
      <x:c r="C359" s="11" t="str">
        <x:v>final_multisource_132</x:v>
      </x:c>
      <x:c r="D359" s="11" t="str">
        <x:v>Benchmarking LLMs and LLM-based Agents in Practical Vulnerability Detection for Code Repositories</x:v>
      </x:c>
      <x:c r="E359" s="11" t="str">
        <x:v>lifecycle coverage</x:v>
      </x:c>
      <x:c r="F359" s="11" t="str">
        <x:v>multi-label</x:v>
      </x:c>
      <x:c r="G359" s="11" t="str">
        <x:v>candidate analysis</x:v>
      </x:c>
      <x:c r="H359" s="11" t="str">
        <x:v>candidate analysis;path and input exploration;reporting and audit</x:v>
      </x:c>
      <x:c r="I359" s="11" t="str">
        <x:v>source-linked lead</x:v>
      </x:c>
      <x:c r="J359" s="11" t="str">
        <x:v>https://arxiv.org/pdf/2503.03586 | role p.1; action p.1; feedback p.3; validation p.5; evaluation p.1</x:v>
      </x:c>
      <x:c r="K359" s="11" t="str">
        <x:v>stic benchmark- consistencies, either misidentifying vulnera- ing of LLMs for vulnerability detection. Re- bilities or over-analyzing security guards, in- posVul (Wang et al., 2024) and VulEval (Wen d</x:v>
      </x:c>
      <x:c r="L359" s="16" t="str">
        <x:v>A source-linked excerpt and locator are supplied as review leads for auditability.</x:v>
      </x:c>
      <x:c r="M359" s="16" t="str">
        <x:v>Mark only observable lifecycle actions or outputs. Reporting and audit requires explicit packaging, routing, disclosure, or audit transition; a report name alone is insufficient.</x:v>
      </x:c>
      <x:c r="N359" s="16" t="str">
        <x:v>candidate analysis</x:v>
      </x:c>
      <x:c r="O359" s="16" t="str">
        <x:v>The cited source supports the selected label candidate analysis; only observable workflow actions or outputs were retained.</x:v>
      </x:c>
      <x:c r="P359" s="16" t="str">
        <x:v>https://arxiv.org/pdf/2503.03586 | role p.1; action p.1; feedback p.3; validation p.5; evaluation p.1</x:v>
      </x:c>
      <x:c r="Q359" s="16" t="str">
        <x:v>no</x:v>
      </x:c>
      <x:c r="R359" s="11" t="str"/>
      <x:c r="S359" s="11" t="str">
        <x:v>2026-08-12</x:v>
      </x:c>
      <x:c r="T359" s="18" t="str">
        <x:f>IF(OR(AND(N359="unresolved",LEN(O359)&gt;0,LEN(P359)&gt;0,Q359="yes"),AND(LEN(N359)&gt;0,LEN(O359)&gt;0,LEN(P359)&gt;0,OR(Q359="yes",Q359="no"))),"ready","pending")</x:f>
        <x:v>ready</x:v>
      </x:c>
    </x:row>
    <x:row r="360" ht="44" customHeight="1">
      <x:c r="A360" s="10" t="str">
        <x:v>FMS0376__lifecycle</x:v>
      </x:c>
      <x:c r="B360" s="11" t="str">
        <x:v>FMS0376</x:v>
      </x:c>
      <x:c r="C360" s="11" t="str">
        <x:v>final_multisource_132</x:v>
      </x:c>
      <x:c r="D360" s="11" t="str">
        <x:v>CHAINTRIX: A multi-pipeline LLM-augmented framework for automated smart-contract security auditing</x:v>
      </x:c>
      <x:c r="E360" s="11" t="str">
        <x:v>lifecycle coverage</x:v>
      </x:c>
      <x:c r="F360" s="11" t="str">
        <x:v>multi-label</x:v>
      </x:c>
      <x:c r="G360" s="11" t="str">
        <x:v>candidate analysis;execution observation;path and input exploration;reporting and audit</x:v>
      </x:c>
      <x:c r="H360" s="11" t="str">
        <x:v>candidate analysis;execution observation;path and input exploration;reporting and audit;reproduction and validation</x:v>
      </x:c>
      <x:c r="I360" s="11" t="str">
        <x:v>source-linked lead</x:v>
      </x:c>
      <x:c r="J360" s="11" t="str">
        <x:v>https://arxiv.org/pdf/2605.09350 | role p.1; action p.1; feedback p.13; validation p.1; evaluation p.1</x:v>
      </x:c>
      <x:c r="K360" s="11" t="str">
        <x:v>e mode. Static analyzers report findings that frequently fail manual triage at high rates, while large language models (LLMs) hallucinate findings that contradict the source code. Thus, we propose Chaintrix, an end-to-end auditing framework whose central architectural commitment is that every LLM-generated claim must be discharged against a deterministic structural contract representation. We introduce a Cross-Contract In</x:v>
      </x:c>
      <x:c r="L360" s="16" t="str">
        <x:v>A source-linked excerpt and locator are supplied as review leads for auditability.</x:v>
      </x:c>
      <x:c r="M360" s="16" t="str">
        <x:v>Mark only observable lifecycle actions or outputs. Reporting and audit requires explicit packaging, routing, disclosure, or audit transition; a report name alone is insufficient.</x:v>
      </x:c>
      <x:c r="N360" s="16" t="str">
        <x:v>candidate analysis;path and input exploration;execution observation;reporting and audit</x:v>
      </x:c>
      <x:c r="O360" s="16" t="str">
        <x:v>The cited source supports the selected label candidate analysis;path and input exploration;execution observation;reporting and audit; only observable workflow actions or outputs were retained.</x:v>
      </x:c>
      <x:c r="P360" s="16" t="str">
        <x:v>https://arxiv.org/pdf/2605.09350 | role p.1; action p.1; feedback p.13; validation p.1; evaluation p.1</x:v>
      </x:c>
      <x:c r="Q360" s="16" t="str">
        <x:v>no</x:v>
      </x:c>
      <x:c r="R360" s="11" t="str"/>
      <x:c r="S360" s="11" t="str">
        <x:v>2026-08-12</x:v>
      </x:c>
      <x:c r="T360" s="18" t="str">
        <x:f>IF(OR(AND(N360="unresolved",LEN(O360)&gt;0,LEN(P360)&gt;0,Q360="yes"),AND(LEN(N360)&gt;0,LEN(O360)&gt;0,LEN(P360)&gt;0,OR(Q360="yes",Q360="no"))),"ready","pending")</x:f>
        <x:v>ready</x:v>
      </x:c>
    </x:row>
    <x:row r="361" ht="44" customHeight="1">
      <x:c r="A361" s="10" t="str">
        <x:v>FMS0376__principal_evidence</x:v>
      </x:c>
      <x:c r="B361" s="11" t="str">
        <x:v>FMS0376</x:v>
      </x:c>
      <x:c r="C361" s="11" t="str">
        <x:v>final_multisource_132</x:v>
      </x:c>
      <x:c r="D361" s="11" t="str">
        <x:v>CHAINTRIX: A multi-pipeline LLM-augmented framework for automated smart-contract security auditing</x:v>
      </x:c>
      <x:c r="E361" s="11" t="str">
        <x:v>principal reported evidence output</x:v>
      </x:c>
      <x:c r="F361" s="11" t="str">
        <x:v>single-label</x:v>
      </x:c>
      <x:c r="G361" s="11" t="str">
        <x:v>candidate judgment</x:v>
      </x:c>
      <x:c r="H361" s="11" t="str">
        <x:v>reproducible validation</x:v>
      </x:c>
      <x:c r="I361" s="11" t="str">
        <x:v>source-linked lead</x:v>
      </x:c>
      <x:c r="J361" s="11" t="str">
        <x:v>https://arxiv.org/pdf/2605.09350 | role p.1; action p.1; feedback p.13; validation p.1; evaluation p.1</x:v>
      </x:c>
      <x:c r="K361" s="11" t="str">
        <x:v>c structural checks against parsed code, filters the merged finding set, with selected high-confidence findings further validated through symbolic execution and fuzz testing. We evaluate Chaintrix on EVMbench, the smart-contract security benchmark by OpenAI, Paradigm, OtterSec. Chaintrix detects 86 of 120 high-severity vulnerabilities (71.7% recall), with 25 audits scoring 100% recall, placing Chaintrix 26 percentage points above the strongest frontier-model baseline. Keywords: sma</x:v>
      </x:c>
      <x:c r="L361" s="16" t="str">
        <x:v>A source-linked excerpt and locator are supplied as review leads for auditability.</x:v>
      </x:c>
      <x:c r="M361" s="16" t="str">
        <x:v>Select the observable result most directly supporting the main finding. Benchmark ground truth or aggregate CVE counts do not automatically establish externally traceable material.</x:v>
      </x:c>
      <x:c r="N361" s="16" t="str">
        <x:v>candidate judgment</x:v>
      </x:c>
      <x:c r="O361" s="16" t="str">
        <x:v>The cited source supports the selected label candidate judgment as the main observable result reported for the study.</x:v>
      </x:c>
      <x:c r="P361" s="16" t="str">
        <x:v>https://arxiv.org/pdf/2605.09350 | role p.1; action p.1; feedback p.13; validation p.1; evaluation p.1</x:v>
      </x:c>
      <x:c r="Q361" s="16" t="str">
        <x:v>no</x:v>
      </x:c>
      <x:c r="R361" s="11" t="str"/>
      <x:c r="S361" s="11" t="str">
        <x:v>2026-08-12</x:v>
      </x:c>
      <x:c r="T361" s="18" t="str">
        <x:f>IF(OR(AND(N361="unresolved",LEN(O361)&gt;0,LEN(P361)&gt;0,Q361="yes"),AND(LEN(N361)&gt;0,LEN(O361)&gt;0,LEN(P361)&gt;0,OR(Q361="yes",Q361="no"))),"ready","pending")</x:f>
        <x:v>ready</x:v>
      </x:c>
    </x:row>
    <x:row r="362" ht="44" customHeight="1">
      <x:c r="A362" s="10" t="str">
        <x:v>FMS0479__capability</x:v>
      </x:c>
      <x:c r="B362" s="11" t="str">
        <x:v>FMS0479</x:v>
      </x:c>
      <x:c r="C362" s="11" t="str">
        <x:v>final_multisource_132</x:v>
      </x:c>
      <x:c r="D362" s="11" t="str">
        <x:v>CryptoFormalEval: Integrating LLMs and Formal Verification for Automated Cryptographic Protocol Vulnerability Detection</x:v>
      </x:c>
      <x:c r="E362" s="11" t="str">
        <x:v>cross-stage capability</x:v>
      </x:c>
      <x:c r="F362" s="11" t="str">
        <x:v>multi-label</x:v>
      </x:c>
      <x:c r="G362" s="11" t="str">
        <x:v>context aggregation / rule extraction;failure reuse / strategy update;feedback interpretation / loop adjustment;long-horizon state management;tool routing / strategy routing;validation organization / evidence packaging</x:v>
      </x:c>
      <x:c r="H362" s="11" t="str">
        <x:v>context aggregation / rule extraction;feedback interpretation / loop adjustment;governance / human gates / disclosure control;long-horizon state management;tool routing / strategy routing;validation organization / evidence packaging</x:v>
      </x:c>
      <x:c r="I362" s="11" t="str">
        <x:v>source-linked lead</x:v>
      </x:c>
      <x:c r="J362" s="11" t="str">
        <x:v>https://arxiv.org/pdf/2411.13627 | role p.1; action p.1; feedback p.3; validation p.1; evaluation p.1</x:v>
      </x:c>
      <x:c r="K362" s="11" t="str">
        <x:v>structured process in which AI promising examples, ensuring they present challenging, yet agents interact iteratively with the Tamarin prover to for- detectable, vulnerabilities suitable for the benchmark. malize, verify, and validate cryptographic protocols. The The dataset includes 15 protocols of varying complexity, pipeline is composed of four primary steps, also illustrated</x:v>
      </x:c>
      <x:c r="L362" s="16" t="str">
        <x:v>A source-linked excerpt and locator are supplied as review leads for auditability.</x:v>
      </x:c>
      <x:c r="M362" s="16" t="str">
        <x:v>Require an explicit cross-stage connection. Information must guide later action; feedback must alter later action; packaging must assemble prior outputs; governance must enforce an actual gate.</x:v>
      </x:c>
      <x:c r="N362" s="16" t="str">
        <x:v>context aggregation / rule extraction;tool routing / strategy routing;feedback interpretation / loop adjustment;validation organization / evidence packaging;long-horizon state management;failure reuse / strategy update</x:v>
      </x:c>
      <x:c r="O362"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362" s="16" t="str">
        <x:v>https://arxiv.org/pdf/2411.13627 | role p.1; action p.1; feedback p.3; validation p.1; evaluation p.1</x:v>
      </x:c>
      <x:c r="Q362" s="16" t="str">
        <x:v>no</x:v>
      </x:c>
      <x:c r="R362" s="11" t="str"/>
      <x:c r="S362" s="11" t="str">
        <x:v>2026-08-12</x:v>
      </x:c>
      <x:c r="T362" s="18" t="str">
        <x:f>IF(OR(AND(N362="unresolved",LEN(O362)&gt;0,LEN(P362)&gt;0,Q362="yes"),AND(LEN(N362)&gt;0,LEN(O362)&gt;0,LEN(P362)&gt;0,OR(Q362="yes",Q362="no"))),"ready","pending")</x:f>
        <x:v>ready</x:v>
      </x:c>
    </x:row>
    <x:row r="363" ht="44" customHeight="1">
      <x:c r="A363" s="10" t="str">
        <x:v>FMS0677__lifecycle</x:v>
      </x:c>
      <x:c r="B363" s="11" t="str">
        <x:v>FMS0677</x:v>
      </x:c>
      <x:c r="C363" s="11" t="str">
        <x:v>final_multisource_132</x:v>
      </x:c>
      <x:c r="D363" s="11" t="str">
        <x:v>From Controlled to the Wild: Evaluation of Pentesting Agents for the Real-World</x:v>
      </x:c>
      <x:c r="E363" s="11" t="str">
        <x:v>lifecycle coverage</x:v>
      </x:c>
      <x:c r="F363" s="11" t="str">
        <x:v>multi-label</x:v>
      </x:c>
      <x:c r="G363" s="11" t="str">
        <x:v>candidate analysis;execution observation;path and input exploration;reporting and audit</x:v>
      </x:c>
      <x:c r="H363" s="11" t="str">
        <x:v>candidate analysis;execution observation;path and input exploration;reporting and audit;reproduction and validation</x:v>
      </x:c>
      <x:c r="I363" s="11" t="str">
        <x:v>source-linked lead</x:v>
      </x:c>
      <x:c r="J363" s="11" t="str">
        <x:v>https://arxiv.org/pdf/2605.10834 | role p.1; action p.1; feedback p.4; validation p.1; evaluation p.1</x:v>
      </x:c>
      <x:c r="K363" s="11" t="str">
        <x:v>ruth maintenance, repeated and cumulative evaluation of stochastic agents, efficiency metrics, and reduced-suite selection for sustainable experimentation. This protocol extends the stat</x:v>
      </x:c>
      <x:c r="L363" s="16" t="str">
        <x:v>A source-linked excerpt and locator are supplied as review leads for auditability.</x:v>
      </x:c>
      <x:c r="M363" s="16" t="str">
        <x:v>Mark only observable lifecycle actions or outputs. Reporting and audit requires explicit packaging, routing, disclosure, or audit transition; a report name alone is insufficient.</x:v>
      </x:c>
      <x:c r="N363" s="16" t="str">
        <x:v>candidate analysis;path and input exploration;execution observation;reporting and audit</x:v>
      </x:c>
      <x:c r="O363" s="16" t="str">
        <x:v>The cited source supports the selected label candidate analysis;path and input exploration;execution observation;reporting and audit; only observable workflow actions or outputs were retained.</x:v>
      </x:c>
      <x:c r="P363" s="16" t="str">
        <x:v>https://arxiv.org/pdf/2605.10834 | role p.1; action p.1; feedback p.4; validation p.1; evaluation p.1</x:v>
      </x:c>
      <x:c r="Q363" s="16" t="str">
        <x:v>no</x:v>
      </x:c>
      <x:c r="R363" s="11" t="str"/>
      <x:c r="S363" s="11" t="str">
        <x:v>2026-08-12</x:v>
      </x:c>
      <x:c r="T363" s="18" t="str">
        <x:f>IF(OR(AND(N363="unresolved",LEN(O363)&gt;0,LEN(P363)&gt;0,Q363="yes"),AND(LEN(N363)&gt;0,LEN(O363)&gt;0,LEN(P363)&gt;0,OR(Q363="yes",Q363="no"))),"ready","pending")</x:f>
        <x:v>ready</x:v>
      </x:c>
    </x:row>
    <x:row r="364" ht="44" customHeight="1">
      <x:c r="A364" s="10" t="str">
        <x:v>FMS0677__capability</x:v>
      </x:c>
      <x:c r="B364" s="11" t="str">
        <x:v>FMS0677</x:v>
      </x:c>
      <x:c r="C364" s="11" t="str">
        <x:v>final_multisource_132</x:v>
      </x:c>
      <x:c r="D364" s="11" t="str">
        <x:v>From Controlled to the Wild: Evaluation of Pentesting Agents for the Real-World</x:v>
      </x:c>
      <x:c r="E364" s="11" t="str">
        <x:v>cross-stage capability</x:v>
      </x:c>
      <x:c r="F364" s="11" t="str">
        <x:v>multi-label</x:v>
      </x:c>
      <x:c r="G364" s="11" t="str">
        <x:v>feedback interpretation / loop adjustment;governance / human gates / disclosure control;long-horizon state management;tool routing / strategy routing</x:v>
      </x:c>
      <x:c r="H364" s="11" t="str">
        <x:v>context aggregation / rule extraction;feedback interpretation / loop adjustment;governance / human gates / disclosure control;long-horizon state management;tool routing / strategy routing;validation organization / evidence packaging</x:v>
      </x:c>
      <x:c r="I364" s="11" t="str">
        <x:v>source-linked lead</x:v>
      </x:c>
      <x:c r="J364" s="11" t="str">
        <x:v>https://arxiv.org/pdf/2605.10834 | role p.1; action p.1; feedback p.4; validation p.1; evaluation p.1</x:v>
      </x:c>
      <x:c r="K364" s="11" t="str">
        <x:v>settings (e.g., Precision, Recall, F1), duplicate counting, and other security-specific metrics like severity scoring, coverage, and Common Weakness Enumeration (CWE) coverage (additional information on evaluation metrics in Appendix A). However, an important limitation remains: for realistic pentesting targets, it is often impossible to know in advance the complete set of vulnerabilities present in the target. Unlike closed benchmarks with exhaustively enumerated answers, real or r</x:v>
      </x:c>
      <x:c r="L364" s="16" t="str">
        <x:v>A source-linked excerpt and locator are supplied as review leads for auditability.</x:v>
      </x:c>
      <x:c r="M364" s="16" t="str">
        <x:v>Require an explicit cross-stage connection. Information must guide later action; feedback must alter later action; packaging must assemble prior outputs; governance must enforce an actual gate.</x:v>
      </x:c>
      <x:c r="N364" s="16" t="str">
        <x:v>tool routing / strategy routing;feedback interpretation / loop adjustment;long-horizon state management;governance / human gates / disclosure control</x:v>
      </x:c>
      <x:c r="O364" s="16" t="str">
        <x:v>The cited source supports the selected label tool routing / strategy routing;feedback interpretation / loop adjustment;long-horizon state management;governance / human gates / disclosure control; each retained label requires an explicit connection that guides later action, feedback, packaging, or a gate.</x:v>
      </x:c>
      <x:c r="P364" s="16" t="str">
        <x:v>https://arxiv.org/pdf/2605.10834 | role p.1; action p.1; feedback p.4; validation p.1; evaluation p.1</x:v>
      </x:c>
      <x:c r="Q364" s="16" t="str">
        <x:v>no</x:v>
      </x:c>
      <x:c r="R364" s="11" t="str"/>
      <x:c r="S364" s="11" t="str">
        <x:v>2026-08-12</x:v>
      </x:c>
      <x:c r="T364" s="18" t="str">
        <x:f>IF(OR(AND(N364="unresolved",LEN(O364)&gt;0,LEN(P364)&gt;0,Q364="yes"),AND(LEN(N364)&gt;0,LEN(O364)&gt;0,LEN(P364)&gt;0,OR(Q364="yes",Q364="no"))),"ready","pending")</x:f>
        <x:v>ready</x:v>
      </x:c>
    </x:row>
    <x:row r="365" ht="44" customHeight="1">
      <x:c r="A365" s="10" t="str">
        <x:v>FMS0925__capability</x:v>
      </x:c>
      <x:c r="B365" s="11" t="str">
        <x:v>FMS0925</x:v>
      </x:c>
      <x:c r="C365" s="11" t="str">
        <x:v>final_multisource_132</x:v>
      </x:c>
      <x:c r="D365" s="11" t="str">
        <x:v>LLM-SmartAudit: Advanced Smart Contract Vulnerability Detection</x:v>
      </x:c>
      <x:c r="E365" s="11" t="str">
        <x:v>cross-stage capability</x:v>
      </x:c>
      <x:c r="F365" s="11" t="str">
        <x:v>multi-label</x:v>
      </x:c>
      <x:c r="G365" s="11" t="str">
        <x:v>context aggregation / rule extraction;feedback interpretation / loop adjustment;long-horizon state management;validation organization / evidence packaging</x:v>
      </x:c>
      <x:c r="H365" s="11" t="str">
        <x:v>context aggregation / rule extraction;feedback interpretation / loop adjustment;long-horizon state management;tool routing / strategy routing;validation organization / evidence packaging</x:v>
      </x:c>
      <x:c r="I365" s="11" t="str">
        <x:v>source-linked lead</x:v>
      </x:c>
      <x:c r="J365" s="11" t="str">
        <x:v>https://arxiv.org/pdf/2410.09381 | role p.1; action p.1; feedback p.2; validation p.8; evaluation p.2</x:v>
      </x:c>
      <x:c r="K365" s="11" t="str">
        <x:v>rationales. Firstly, LLMs’ benchmark, enabling direct comparison between LLM- ability to incorporate feedback and engage in cooperative SmartAudit and conventional tools employing vari- conversations enables a dynamic, interactive, and iterative ous analysis techniques. The Real-world dataset, de- approach to identifying and addressing smart contract vul- rived from the reputable Code4rena contest, comprises nerabi</x:v>
      </x:c>
      <x:c r="L365" s="16" t="str">
        <x:v>A source-linked excerpt and locator are supplied as review leads for auditability.</x:v>
      </x:c>
      <x:c r="M365" s="16" t="str">
        <x:v>Require an explicit cross-stage connection. Information must guide later action; feedback must alter later action; packaging must assemble prior outputs; governance must enforce an actual gate.</x:v>
      </x:c>
      <x:c r="N365" s="16" t="str">
        <x:v>context aggregation / rule extraction;feedback interpretation / loop adjustment;validation organization / evidence packaging;long-horizon state management</x:v>
      </x:c>
      <x:c r="O365" s="16" t="str">
        <x:v>The cited source supports the selected label context aggregation / rule extraction;feedback interpretation / loop adjustment;validation organization / evidence packaging;long-horizon state management; each retained label requires an explicit connection that guides later action, feedback, packaging, or a gate.</x:v>
      </x:c>
      <x:c r="P365" s="16" t="str">
        <x:v>https://arxiv.org/pdf/2410.09381 | role p.1; action p.1; feedback p.2; validation p.8; evaluation p.2</x:v>
      </x:c>
      <x:c r="Q365" s="16" t="str">
        <x:v>no</x:v>
      </x:c>
      <x:c r="R365" s="11" t="str"/>
      <x:c r="S365" s="11" t="str">
        <x:v>2026-08-12</x:v>
      </x:c>
      <x:c r="T365" s="18" t="str">
        <x:f>IF(OR(AND(N365="unresolved",LEN(O365)&gt;0,LEN(P365)&gt;0,Q365="yes"),AND(LEN(N365)&gt;0,LEN(O365)&gt;0,LEN(P365)&gt;0,OR(Q365="yes",Q365="no"))),"ready","pending")</x:f>
        <x:v>ready</x:v>
      </x:c>
    </x:row>
    <x:row r="366" ht="44" customHeight="1">
      <x:c r="A366" s="10" t="str">
        <x:v>FMS1394__lifecycle</x:v>
      </x:c>
      <x:c r="B366" s="11" t="str">
        <x:v>FMS1394</x:v>
      </x:c>
      <x:c r="C366" s="11" t="str">
        <x:v>final_multisource_132</x:v>
      </x:c>
      <x:c r="D366" s="11" t="str">
        <x:v>StealthBench: Measuring Operational Stealth in Autonomous Offensive-Security Agents</x:v>
      </x:c>
      <x:c r="E366" s="11" t="str">
        <x:v>lifecycle coverage</x:v>
      </x:c>
      <x:c r="F366" s="11" t="str">
        <x:v>multi-label</x:v>
      </x:c>
      <x:c r="G366" s="11" t="str">
        <x:v>candidate analysis;execution observation;path and input exploration;reporting and audit</x:v>
      </x:c>
      <x:c r="H366" s="11" t="str">
        <x:v>candidate analysis;execution observation;path and input exploration;reporting and audit;reproduction and validation</x:v>
      </x:c>
      <x:c r="I366" s="11" t="str">
        <x:v>source-linked lead</x:v>
      </x:c>
      <x:c r="J366" s="11" t="str">
        <x:v>https://arxiv.org/pdf/2607.26314 | role p.1; action p.1; feedback p.2; validation p.3; evaluation p.1</x:v>
      </x:c>
      <x:c r="K366" s="11" t="str">
        <x:v>for offensive security tasks. Au- tonomous bug-bounty systems use tool-calling agents to perform reconnaissance, analyze application source code, identify vulnerabilities, craft exploitation payloa</x:v>
      </x:c>
      <x:c r="L366" s="16" t="str">
        <x:v>A source-linked excerpt and locator are supplied as review leads for auditability.</x:v>
      </x:c>
      <x:c r="M366" s="16" t="str">
        <x:v>Mark only observable lifecycle actions or outputs. Reporting and audit requires explicit packaging, routing, disclosure, or audit transition; a report name alone is insufficient.</x:v>
      </x:c>
      <x:c r="N366" s="16" t="str">
        <x:v>candidate analysis;path and input exploration;execution observation;reporting and audit</x:v>
      </x:c>
      <x:c r="O366" s="16" t="str">
        <x:v>The cited source supports the selected label candidate analysis;path and input exploration;execution observation;reporting and audit; only observable workflow actions or outputs were retained.</x:v>
      </x:c>
      <x:c r="P366" s="16" t="str">
        <x:v>https://arxiv.org/pdf/2607.26314 | role p.1; action p.1; feedback p.2; validation p.3; evaluation p.1</x:v>
      </x:c>
      <x:c r="Q366" s="16" t="str">
        <x:v>no</x:v>
      </x:c>
      <x:c r="R366" s="11" t="str"/>
      <x:c r="S366" s="11" t="str">
        <x:v>2026-08-12</x:v>
      </x:c>
      <x:c r="T366" s="18" t="str">
        <x:f>IF(OR(AND(N366="unresolved",LEN(O366)&gt;0,LEN(P366)&gt;0,Q366="yes"),AND(LEN(N366)&gt;0,LEN(O366)&gt;0,LEN(P366)&gt;0,OR(Q366="yes",Q366="no"))),"ready","pending")</x:f>
        <x:v>ready</x:v>
      </x:c>
    </x:row>
    <x:row r="367" ht="44" customHeight="1">
      <x:c r="A367" s="10" t="str">
        <x:v>FMS1394__capability</x:v>
      </x:c>
      <x:c r="B367" s="11" t="str">
        <x:v>FMS1394</x:v>
      </x:c>
      <x:c r="C367" s="11" t="str">
        <x:v>final_multisource_132</x:v>
      </x:c>
      <x:c r="D367" s="11" t="str">
        <x:v>StealthBench: Measuring Operational Stealth in Autonomous Offensive-Security Agents</x:v>
      </x:c>
      <x:c r="E367" s="11" t="str">
        <x:v>cross-stage capability</x:v>
      </x:c>
      <x:c r="F367" s="11" t="str">
        <x:v>multi-label</x:v>
      </x:c>
      <x:c r="G367" s="11" t="str">
        <x:v>feedback interpretation / loop adjustment;governance / human gates / disclosure control;long-horizon state management;tool routing / strategy routing</x:v>
      </x:c>
      <x:c r="H367" s="11" t="str">
        <x:v>feedback interpretation / loop adjustment;governance / human gates / disclosure control;long-horizon state management;tool routing / strategy routing;validation organization / evidence packaging</x:v>
      </x:c>
      <x:c r="I367" s="11" t="str">
        <x:v>source-linked lead</x:v>
      </x:c>
      <x:c r="J367" s="11" t="str">
        <x:v>https://arxiv.org/pdf/2607.26314 | role p.1; action p.1; feedback p.2; validation p.3; evaluation p.1</x:v>
      </x:c>
      <x:c r="K367" s="11" t="str">
        <x:v>pipeline itself, although our observational design does not test this cause directly. Reinforcement learning from human feedback (RLHF) rewards correct answers and successful tool use, but training data rarely includes examples of operationally disciplined security testing. When a model learns to “find the vulnerability and demonstrate it,” the available training signal may reward exploitation success without penalizing the forensic foot- print left behind. Tool-calling examples also</x:v>
      </x:c>
      <x:c r="L367" s="16" t="str">
        <x:v>A source-linked excerpt and locator are supplied as review leads for auditability.</x:v>
      </x:c>
      <x:c r="M367" s="16" t="str">
        <x:v>Require an explicit cross-stage connection. Information must guide later action; feedback must alter later action; packaging must assemble prior outputs; governance must enforce an actual gate.</x:v>
      </x:c>
      <x:c r="N367" s="16" t="str">
        <x:v>tool routing / strategy routing;feedback interpretation / loop adjustment;long-horizon state management;governance / human gates / disclosure control</x:v>
      </x:c>
      <x:c r="O367" s="16" t="str">
        <x:v>The cited source supports the selected label tool routing / strategy routing;feedback interpretation / loop adjustment;long-horizon state management;governance / human gates / disclosure control; each retained label requires an explicit connection that guides later action, feedback, packaging, or a gate.</x:v>
      </x:c>
      <x:c r="P367" s="16" t="str">
        <x:v>https://arxiv.org/pdf/2607.26314 | role p.1; action p.1; feedback p.2; validation p.3; evaluation p.1</x:v>
      </x:c>
      <x:c r="Q367" s="16" t="str">
        <x:v>no</x:v>
      </x:c>
      <x:c r="R367" s="11" t="str"/>
      <x:c r="S367" s="11" t="str">
        <x:v>2026-08-12</x:v>
      </x:c>
      <x:c r="T367" s="18" t="str">
        <x:f>IF(OR(AND(N367="unresolved",LEN(O367)&gt;0,LEN(P367)&gt;0,Q367="yes"),AND(LEN(N367)&gt;0,LEN(O367)&gt;0,LEN(P367)&gt;0,OR(Q367="yes",Q367="no"))),"ready","pending")</x:f>
        <x:v>ready</x:v>
      </x:c>
    </x:row>
    <x:row r="368" ht="44" customHeight="1">
      <x:c r="A368" s="10" t="str">
        <x:v>FMS1473__capability</x:v>
      </x:c>
      <x:c r="B368" s="11" t="str">
        <x:v>FMS1473</x:v>
      </x:c>
      <x:c r="C368" s="11" t="str">
        <x:v>final_multisource_132</x:v>
      </x:c>
      <x:c r="D368" s="11" t="str">
        <x:v>Tool-Guided Retrieval-Augmented Repair for Securing LLM-Generated C Code</x:v>
      </x:c>
      <x:c r="E368" s="11" t="str">
        <x:v>cross-stage capability</x:v>
      </x:c>
      <x:c r="F368" s="11" t="str">
        <x:v>multi-label</x:v>
      </x:c>
      <x:c r="G368" s="11" t="str">
        <x:v>context aggregation / rule extraction;failure reuse / strategy update;feedback interpretation / loop adjustment;long-horizon state management;validation organization / evidence packaging</x:v>
      </x:c>
      <x:c r="H368" s="11" t="str">
        <x:v>context aggregation / rule extraction;failure reuse / strategy update;feedback interpretation / loop adjustment;validation organization / evidence packaging</x:v>
      </x:c>
      <x:c r="I368" s="11" t="str">
        <x:v>source-linked lead</x:v>
      </x:c>
      <x:c r="J368" s="11" t="str">
        <x:v>https://arxiv.org/pdf/2607.21641 | role p.1; action p.1; feedback p.1; validation p.1; evaluation p.2</x:v>
      </x:c>
      <x:c r="K368" s="11" t="str">
        <x:v>embedded and resource-constrained systems. platforms with limited memory, architecture- This work investigates how feedback and re- specific constraints, and fewer practical protections trieval improve reliability of LLM-generated C than general-purpose systems. In such settings, arXiv:2607.21641v1 [cs.SE] 21 Jul 2026</x:v>
      </x:c>
      <x:c r="L368" s="16" t="str">
        <x:v>A source-linked excerpt and locator are supplied as review leads for auditability.</x:v>
      </x:c>
      <x:c r="M368" s="16" t="str">
        <x:v>Require an explicit cross-stage connection. Information must guide later action; feedback must alter later action; packaging must assemble prior outputs; governance must enforce an actual gate.</x:v>
      </x:c>
      <x:c r="N368" s="16" t="str">
        <x:v>context aggregation / rule extraction;feedback interpretation / loop adjustment;validation organization / evidence packaging;long-horizon state management;failure reuse / strategy update</x:v>
      </x:c>
      <x:c r="O368" s="16" t="str">
        <x:v>The cited source supports the selected label context aggregation / rule extraction;feedback interpretation / loop adjustment;validation organization / evidence packaging;long-horizon state management;failure reuse / strategy update; each retained label requires an explicit connection that guides later action, feedback, packaging, or a gate.</x:v>
      </x:c>
      <x:c r="P368" s="16" t="str">
        <x:v>https://arxiv.org/pdf/2607.21641 | role p.1; action p.1; feedback p.1; validation p.1; evaluation p.2</x:v>
      </x:c>
      <x:c r="Q368" s="16" t="str">
        <x:v>no</x:v>
      </x:c>
      <x:c r="R368" s="11" t="str"/>
      <x:c r="S368" s="11" t="str">
        <x:v>2026-08-12</x:v>
      </x:c>
      <x:c r="T368" s="18" t="str">
        <x:f>IF(OR(AND(N368="unresolved",LEN(O368)&gt;0,LEN(P368)&gt;0,Q368="yes"),AND(LEN(N368)&gt;0,LEN(O368)&gt;0,LEN(P368)&gt;0,OR(Q368="yes",Q368="no"))),"ready","pending")</x:f>
        <x:v>ready</x:v>
      </x:c>
    </x:row>
    <x:row r="369" ht="44" customHeight="1">
      <x:c r="A369" s="10" t="str">
        <x:v>FMS0120__lifecycle</x:v>
      </x:c>
      <x:c r="B369" s="11" t="str">
        <x:v>FMS0120</x:v>
      </x:c>
      <x:c r="C369" s="11" t="str">
        <x:v>final_multisource_132</x:v>
      </x:c>
      <x:c r="D369" s="11" t="str">
        <x:v>AEGIS: From Clues to Verdicts -- Graph-Guided Deep Vulnerability Reasoning via Dialectics and Meta-Auditing</x:v>
      </x:c>
      <x:c r="E369" s="11" t="str">
        <x:v>lifecycle coverage</x:v>
      </x:c>
      <x:c r="F369" s="11" t="str">
        <x:v>multi-label</x:v>
      </x:c>
      <x:c r="G369" s="11" t="str">
        <x:v>candidate analysis;reporting and audit</x:v>
      </x:c>
      <x:c r="H369" s="11" t="str">
        <x:v>candidate analysis;path and input exploration;reporting and audit</x:v>
      </x:c>
      <x:c r="I369" s="11" t="str">
        <x:v>source-linked lead</x:v>
      </x:c>
      <x:c r="J369" s="11" t="str">
        <x:v>https://arxiv.org/pdf/2603.20637 | role p.1; action p.1; feedback p.9; validation p.2; evaluation p.1</x:v>
      </x:c>
      <x:c r="K369" s="11" t="str">
        <x:v>fabricate cross-function dependencies, and retrieval heuristics sup- Agent-based methods [14, 22, 36] adopt multi-agent collaboration to ply generic knowledge decoupled from the repository’s data-flow improve reasoning reliability. For instance, VulTrial [36] simulates topology. Consequently,</x:v>
      </x:c>
      <x:c r="L369" s="16" t="str">
        <x:v>A source-linked excerpt and locator are supplied as review leads for auditability.</x:v>
      </x:c>
      <x:c r="M369" s="16" t="str">
        <x:v>Mark only observable lifecycle actions or outputs. Reporting and audit requires explicit packaging, routing, disclosure, or audit transition; a report name alone is insufficient.</x:v>
      </x:c>
      <x:c r="N369" s="16" t="str">
        <x:v>candidate analysis;reporting and audit</x:v>
      </x:c>
      <x:c r="O369" s="16" t="str">
        <x:v>The cited source supports the selected label candidate analysis;reporting and audit; only observable workflow actions or outputs were retained.</x:v>
      </x:c>
      <x:c r="P369" s="16" t="str">
        <x:v>https://arxiv.org/pdf/2603.20637 | role p.1; action p.1; feedback p.9; validation p.2; evaluation p.1</x:v>
      </x:c>
      <x:c r="Q369" s="16" t="str">
        <x:v>no</x:v>
      </x:c>
      <x:c r="R369" s="11" t="str"/>
      <x:c r="S369" s="11" t="str">
        <x:v>2026-08-12</x:v>
      </x:c>
      <x:c r="T369" s="18" t="str">
        <x:f>IF(OR(AND(N369="unresolved",LEN(O369)&gt;0,LEN(P369)&gt;0,Q369="yes"),AND(LEN(N369)&gt;0,LEN(O369)&gt;0,LEN(P369)&gt;0,OR(Q369="yes",Q369="no"))),"ready","pending")</x:f>
        <x:v>ready</x:v>
      </x:c>
    </x:row>
    <x:row r="370" ht="44" customHeight="1">
      <x:c r="A370" s="10" t="str">
        <x:v>FMS0219__capability</x:v>
      </x:c>
      <x:c r="B370" s="11" t="str">
        <x:v>FMS0219</x:v>
      </x:c>
      <x:c r="C370" s="11" t="str">
        <x:v>final_multisource_132</x:v>
      </x:c>
      <x:c r="D370" s="11" t="str">
        <x:v>Are Frontier LLMs Ready for Cybersecurity? Evidence for Vertical Foundation Models from Dual-Mode Vulnerability Benchmarks</x:v>
      </x:c>
      <x:c r="E370" s="11" t="str">
        <x:v>cross-stage capability</x:v>
      </x:c>
      <x:c r="F370" s="11" t="str">
        <x:v>multi-label</x:v>
      </x:c>
      <x:c r="G370" s="11" t="str">
        <x:v>context aggregation / rule extraction;feedback interpretation / loop adjustment;governance / human gates / disclosure control;long-horizon state management;tool routing / strategy routing;validation organization / evidence packaging</x:v>
      </x:c>
      <x:c r="H370" s="11" t="str">
        <x:v>context aggregation / rule extraction;feedback interpretation / loop adjustment;long-horizon state management;tool routing / strategy routing;validation organization / evidence packaging</x:v>
      </x:c>
      <x:c r="I370" s="11" t="str">
        <x:v>source-linked lead</x:v>
      </x:c>
      <x:c r="J370" s="11" t="str">
        <x:v>https://arxiv.org/pdf/2605.23243 | role p.2; action p.1; feedback p.1; validation p.2; evaluation p.1</x:v>
      </x:c>
      <x:c r="K370" s="11" t="str">
        <x:v>1. The alignment tax. Consumer-oriented 8% ground-truth coverage, improving to just 10–19% even with external security tools (Play- guardrails cause frontier models most specifi- wright MCP, Burp Suite MCP); (3) structured cally GPT-5.4 to refuse legitimate security op-</x:v>
      </x:c>
      <x:c r="L370" s="16" t="str">
        <x:v>A source-linked excerpt and locator are supplied as review leads for auditability.</x:v>
      </x:c>
      <x:c r="M370" s="16" t="str">
        <x:v>Require an explicit cross-stage connection. Information must guide later action; feedback must alter later action; packaging must assemble prior outputs; governance must enforce an actual gate.</x:v>
      </x:c>
      <x:c r="N370" s="16" t="str">
        <x:v>context aggregation / rule extraction;tool routing / strategy routing;feedback interpretation / loop adjustment;validation organization / evidence packaging;long-horizon state management;governance / human gates / disclosure control</x:v>
      </x:c>
      <x:c r="O370" s="16" t="str">
        <x:v>The cited source supports the selected label context aggregation / rule extraction;tool routing / strategy routing;feedback interpretation / loop adjustment;validation organization / evidence packaging;long-horizon state management;governance / human gates / disclosure control; each retained label requires an explicit connection that guides later action, feedback, packaging, or a gate.</x:v>
      </x:c>
      <x:c r="P370" s="16" t="str">
        <x:v>https://arxiv.org/pdf/2605.23243 | role p.2; action p.1; feedback p.1; validation p.2; evaluation p.1</x:v>
      </x:c>
      <x:c r="Q370" s="16" t="str">
        <x:v>no</x:v>
      </x:c>
      <x:c r="R370" s="11" t="str"/>
      <x:c r="S370" s="11" t="str">
        <x:v>2026-08-12</x:v>
      </x:c>
      <x:c r="T370" s="18" t="str">
        <x:f>IF(OR(AND(N370="unresolved",LEN(O370)&gt;0,LEN(P370)&gt;0,Q370="yes"),AND(LEN(N370)&gt;0,LEN(O370)&gt;0,LEN(P370)&gt;0,OR(Q370="yes",Q370="no"))),"ready","pending")</x:f>
        <x:v>ready</x:v>
      </x:c>
    </x:row>
    <x:row r="371" ht="44" customHeight="1">
      <x:c r="A371" s="10" t="str">
        <x:v>FMS0219__principal_evidence</x:v>
      </x:c>
      <x:c r="B371" s="11" t="str">
        <x:v>FMS0219</x:v>
      </x:c>
      <x:c r="C371" s="11" t="str">
        <x:v>final_multisource_132</x:v>
      </x:c>
      <x:c r="D371" s="11" t="str">
        <x:v>Are Frontier LLMs Ready for Cybersecurity? Evidence for Vertical Foundation Models from Dual-Mode Vulnerability Benchmarks</x:v>
      </x:c>
      <x:c r="E371" s="11" t="str">
        <x:v>principal reported evidence output</x:v>
      </x:c>
      <x:c r="F371" s="11" t="str">
        <x:v>single-label</x:v>
      </x:c>
      <x:c r="G371" s="11" t="str">
        <x:v>controlled task completion</x:v>
      </x:c>
      <x:c r="H371" s="11" t="str">
        <x:v>reproducible validation</x:v>
      </x:c>
      <x:c r="I371" s="11" t="str">
        <x:v>source-linked lead</x:v>
      </x:c>
      <x:c r="J371" s="11" t="str">
        <x:v>https://arxiv.org/pdf/2605.23243 | role p.2; action p.1; feedback p.1; validation p.2; evaluation p.1</x:v>
      </x:c>
      <x:c r="K371" s="11" t="str">
        <x:v>request/response DOM, console callbacks, replay planning only TraceStore records node transitions, tool I/O, LLM I/O, and proof decisions Outcome signal in each P panel is the benchmark result used to compare that paradigm: P1/P2 report low ground-truth coverage, P3 reports per-f</x:v>
      </x:c>
      <x:c r="L371" s="16" t="str">
        <x:v>A source-linked excerpt and locator are supplied as review leads for auditability.</x:v>
      </x:c>
      <x:c r="M371" s="16" t="str">
        <x:v>Select the observable result most directly supporting the main finding. Benchmark ground truth or aggregate CVE counts do not automatically establish externally traceable material.</x:v>
      </x:c>
      <x:c r="N371" s="16" t="str">
        <x:v>controlled task completion</x:v>
      </x:c>
      <x:c r="O371" s="16" t="str">
        <x:v>The cited source supports the selected label controlled task completion as the main observable result reported for the study.</x:v>
      </x:c>
      <x:c r="P371" s="16" t="str">
        <x:v>https://arxiv.org/pdf/2605.23243 | role p.2; action p.1; feedback p.1; validation p.2; evaluation p.1</x:v>
      </x:c>
      <x:c r="Q371" s="16" t="str">
        <x:v>no</x:v>
      </x:c>
      <x:c r="R371" s="11" t="str"/>
      <x:c r="S371" s="11" t="str">
        <x:v>2026-08-12</x:v>
      </x:c>
      <x:c r="T371" s="18" t="str">
        <x:f>IF(OR(AND(N371="unresolved",LEN(O371)&gt;0,LEN(P371)&gt;0,Q371="yes"),AND(LEN(N371)&gt;0,LEN(O371)&gt;0,LEN(P371)&gt;0,OR(Q371="yes",Q371="no"))),"ready","pending")</x:f>
        <x:v>ready</x:v>
      </x:c>
    </x:row>
    <x:row r="372" ht="44" customHeight="1">
      <x:c r="A372" s="10" t="str">
        <x:v>FMS0347__lifecycle</x:v>
      </x:c>
      <x:c r="B372" s="11" t="str">
        <x:v>FMS0347</x:v>
      </x:c>
      <x:c r="C372" s="11" t="str">
        <x:v>final_multisource_132</x:v>
      </x:c>
      <x:c r="D372" s="11" t="str">
        <x:v>Bulkhead: Automated Semantic Detection and Remediation of Container Escape Vulnerabilities</x:v>
      </x:c>
      <x:c r="E372" s="11" t="str">
        <x:v>lifecycle coverage</x:v>
      </x:c>
      <x:c r="F372" s="11" t="str">
        <x:v>multi-label</x:v>
      </x:c>
      <x:c r="G372" s="11" t="str">
        <x:v>candidate analysis;execution observation;patch validation;reporting and audit;reproduction and validation</x:v>
      </x:c>
      <x:c r="H372" s="11" t="str">
        <x:v>candidate analysis;execution observation;patch validation;path and input exploration;reporting and audit;reproduction and validation</x:v>
      </x:c>
      <x:c r="I372" s="11" t="str">
        <x:v>source-linked lead</x:v>
      </x:c>
      <x:c r="J372" s="11" t="str">
        <x:v>https://arxiv.org/pdf/2607.12723 | role p.2; action p.1; feedback p.9; validation p.1; evaluation p.2</x:v>
      </x:c>
      <x:c r="K372" s="11" t="str">
        <x:v>te Automata semantic knowledge, Bulkhead guides LLM-driven reasoning (DFA) [12]. to progressively localize securi</x:v>
      </x:c>
      <x:c r="L372" s="16" t="str">
        <x:v>A source-linked excerpt and locator are supplied as review leads for auditability.</x:v>
      </x:c>
      <x:c r="M372" s="16" t="str">
        <x:v>Mark only observable lifecycle actions or outputs. Reporting and audit requires explicit packaging, routing, disclosure, or audit transition; a report name alone is insufficient.</x:v>
      </x:c>
      <x:c r="N372" s="16" t="str">
        <x:v>candidate analysis;execution observation;reproduction and validation;patch validation;reporting and audit</x:v>
      </x:c>
      <x:c r="O372" s="16" t="str">
        <x:v>The cited source supports the selected label candidate analysis;execution observation;reproduction and validation;patch validation;reporting and audit; only observable workflow actions or outputs were retained.</x:v>
      </x:c>
      <x:c r="P372" s="16" t="str">
        <x:v>https://arxiv.org/pdf/2607.12723 | role p.2; action p.1; feedback p.9; validation p.1; evaluation p.2</x:v>
      </x:c>
      <x:c r="Q372" s="16" t="str">
        <x:v>no</x:v>
      </x:c>
      <x:c r="R372" s="11" t="str"/>
      <x:c r="S372" s="11" t="str">
        <x:v>2026-08-12</x:v>
      </x:c>
      <x:c r="T372" s="18" t="str">
        <x:f>IF(OR(AND(N372="unresolved",LEN(O372)&gt;0,LEN(P372)&gt;0,Q372="yes"),AND(LEN(N372)&gt;0,LEN(O372)&gt;0,LEN(P372)&gt;0,OR(Q372="yes",Q372="no"))),"ready","pending")</x:f>
        <x:v>ready</x:v>
      </x:c>
    </x:row>
    <x:row r="373" ht="44" customHeight="1">
      <x:c r="A373" s="10" t="str">
        <x:v>FMS0347__external_traceability</x:v>
      </x:c>
      <x:c r="B373" s="11" t="str">
        <x:v>FMS0347</x:v>
      </x:c>
      <x:c r="C373" s="11" t="str">
        <x:v>final_multisource_132</x:v>
      </x:c>
      <x:c r="D373" s="11" t="str">
        <x:v>Bulkhead: Automated Semantic Detection and Remediation of Container Escape Vulnerabilities</x:v>
      </x:c>
      <x:c r="E373" s="11" t="str">
        <x:v>external traceability</x:v>
      </x:c>
      <x:c r="F373" s="11" t="str">
        <x:v>single-label</x:v>
      </x:c>
      <x:c r="G373" s="11" t="str">
        <x:v>benchmark ground truth / public material</x:v>
      </x:c>
      <x:c r="H373" s="11" t="str">
        <x:v>author-reported external clue</x:v>
      </x:c>
      <x:c r="I373" s="11" t="str">
        <x:v>source-linked lead</x:v>
      </x:c>
      <x:c r="J373" s="11" t="str">
        <x:v>https://arxiv.org/pdf/2607.12723 | role p.2; action p.1; feedback p.9; validation p.1; evaluation p.2</x:v>
      </x:c>
      <x:c r="K373" s="11" t="str">
        <x:v>tion of generated patches. to be accepted or merged by the mainstream Linux kernel Extensive real-world evaluations demonstrate the efficacy of community. The open-source community adopts the approach this approach, as Bulkhead successfully identified 9 deep- of vulnerability detection and patching case by case, which is seated logic vulnerabilities in mainstream repositories, result- error-prone. A classic example is the evolution of CVE-2018- ing in the</x:v>
      </x:c>
      <x:c r="L373" s="16" t="str">
        <x:v>A source-linked excerpt and locator are supplied as review leads for auditability.</x:v>
      </x:c>
      <x:c r="M373" s="16" t="str">
        <x:v>Code separately from principal output. Only item-level alignment between a concrete system result and a specific public external record qualifies as publicly aligned external trace.</x:v>
      </x:c>
      <x:c r="N373" s="16" t="str">
        <x:v>benchmark ground truth / public material</x:v>
      </x:c>
      <x:c r="O373" s="16" t="str">
        <x:v>The cited source supports the selected label benchmark ground truth / public material under the codebook's item-level public-record alignment criterion.</x:v>
      </x:c>
      <x:c r="P373" s="16" t="str">
        <x:v>https://arxiv.org/pdf/2607.12723 | role p.2; action p.1; feedback p.9; validation p.1; evaluation p.2</x:v>
      </x:c>
      <x:c r="Q373" s="16" t="str">
        <x:v>no</x:v>
      </x:c>
      <x:c r="R373" s="11" t="str"/>
      <x:c r="S373" s="11" t="str">
        <x:v>2026-08-12</x:v>
      </x:c>
      <x:c r="T373" s="18" t="str">
        <x:f>IF(OR(AND(N373="unresolved",LEN(O373)&gt;0,LEN(P373)&gt;0,Q373="yes"),AND(LEN(N373)&gt;0,LEN(O373)&gt;0,LEN(P373)&gt;0,OR(Q373="yes",Q373="no"))),"ready","pending")</x:f>
        <x:v>ready</x:v>
      </x:c>
    </x:row>
    <x:row r="374" ht="44" customHeight="1">
      <x:c r="A374" s="10" t="str">
        <x:v>FMS0412__capability</x:v>
      </x:c>
      <x:c r="B374" s="11" t="str">
        <x:v>FMS0412</x:v>
      </x:c>
      <x:c r="C374" s="11" t="str">
        <x:v>final_multisource_132</x:v>
      </x:c>
      <x:c r="D374" s="11" t="str">
        <x:v>Codexity: Secure AI-assisted Code Generation</x:v>
      </x:c>
      <x:c r="E374" s="11" t="str">
        <x:v>cross-stage capability</x:v>
      </x:c>
      <x:c r="F374" s="11" t="str">
        <x:v>multi-label</x:v>
      </x:c>
      <x:c r="G374" s="11" t="str">
        <x:v>feedback interpretation / loop adjustment;long-horizon state management;validation organization / evidence packaging</x:v>
      </x:c>
      <x:c r="H374" s="11" t="str">
        <x:v>context aggregation / rule extraction;feedback interpretation / loop adjustment;validation organization / evidence packaging</x:v>
      </x:c>
      <x:c r="I374" s="11" t="str">
        <x:v>source-linked lead</x:v>
      </x:c>
      <x:c r="J374" s="11" t="str">
        <x:v>https://arxiv.org/pdf/2405.03927 | role p.1; action p.1; feedback p.1; evaluation p.1</x:v>
      </x:c>
      <x:c r="K374" s="11" t="str">
        <x:v>scanf() without field width limits can crash with huge input data." To prevent such vulnerabilities from being exposed to the software 1 INTRODUCTION</x:v>
      </x:c>
      <x:c r="L374" s="16" t="str">
        <x:v>A source-linked excerpt and locator are supplied as review leads for auditability.</x:v>
      </x:c>
      <x:c r="M374" s="16" t="str">
        <x:v>Require an explicit cross-stage connection. Information must guide later action; feedback must alter later action; packaging must assemble prior outputs; governance must enforce an actual gate.</x:v>
      </x:c>
      <x:c r="N374" s="16" t="str">
        <x:v>feedback interpretation / loop adjustment;validation organization / evidence packaging;long-horizon state management</x:v>
      </x:c>
      <x:c r="O374" s="16" t="str">
        <x:v>The cited source supports the selected label feedback interpretation / loop adjustment;validation organization / evidence packaging;long-horizon state management; each retained label requires an explicit connection that guides later action, feedback, packaging, or a gate.</x:v>
      </x:c>
      <x:c r="P374" s="16" t="str">
        <x:v>https://arxiv.org/pdf/2405.03927 | role p.1; action p.1; feedback p.1; evaluation p.1</x:v>
      </x:c>
      <x:c r="Q374" s="16" t="str">
        <x:v>no</x:v>
      </x:c>
      <x:c r="R374" s="11" t="str"/>
      <x:c r="S374" s="11" t="str">
        <x:v>2026-08-12</x:v>
      </x:c>
      <x:c r="T374" s="18" t="str">
        <x:f>IF(OR(AND(N374="unresolved",LEN(O374)&gt;0,LEN(P374)&gt;0,Q374="yes"),AND(LEN(N374)&gt;0,LEN(O374)&gt;0,LEN(P374)&gt;0,OR(Q374="yes",Q374="no"))),"ready","pending")</x:f>
        <x:v>ready</x:v>
      </x:c>
    </x:row>
    <x:row r="375" ht="44" customHeight="1">
      <x:c r="A375" s="10" t="str">
        <x:v>FMS0443__capability</x:v>
      </x:c>
      <x:c r="B375" s="11" t="str">
        <x:v>FMS0443</x:v>
      </x:c>
      <x:c r="C375" s="11" t="str">
        <x:v>final_multisource_132</x:v>
      </x:c>
      <x:c r="D375" s="11" t="str">
        <x:v>ContractTinker: LLM-Empowered Vulnerability Repair for Real-World Smart Contracts</x:v>
      </x:c>
      <x:c r="E375" s="11" t="str">
        <x:v>cross-stage capability</x:v>
      </x:c>
      <x:c r="F375" s="11" t="str">
        <x:v>multi-label</x:v>
      </x:c>
      <x:c r="G375" s="11" t="str">
        <x:v>context aggregation / rule extraction;feedback interpretation / loop adjustment;long-horizon state management;validation organization / evidence packaging</x:v>
      </x:c>
      <x:c r="H375" s="11" t="str">
        <x:v>context aggregation / rule extraction;feedback interpretation / loop adjustment;validation organization / evidence packaging</x:v>
      </x:c>
      <x:c r="I375" s="11" t="str">
        <x:v>source-linked lead</x:v>
      </x:c>
      <x:c r="J375" s="11" t="str">
        <x:v>https://arxiv.org/pdf/2409.09661 | role p.2; action p.1; validation p.2; evaluation p.1</x:v>
      </x:c>
      <x:c r="K375" s="11" t="str">
        <x:v>developers lacking security expertise. Moreover, existing pattern-based repair tools mostly fail to address real-world vulnerabilities due to their lack of high-level semantic 1 Introduction understanding. To fill this gap, we propose ContractTinker, a Smart contracts are hig</x:v>
      </x:c>
      <x:c r="L375" s="16" t="str">
        <x:v>A source-linked excerpt and locator are supplied as review leads for auditability.</x:v>
      </x:c>
      <x:c r="M375" s="16" t="str">
        <x:v>Require an explicit cross-stage connection. Information must guide later action; feedback must alter later action; packaging must assemble prior outputs; governance must enforce an actual gate.</x:v>
      </x:c>
      <x:c r="N375" s="16" t="str">
        <x:v>context aggregation / rule extraction;feedback interpretation / loop adjustment;validation organization / evidence packaging;long-horizon state management</x:v>
      </x:c>
      <x:c r="O375" s="16" t="str">
        <x:v>The cited source supports the selected label context aggregation / rule extraction;feedback interpretation / loop adjustment;validation organization / evidence packaging;long-horizon state management; each retained label requires an explicit connection that guides later action, feedback, packaging, or a gate.</x:v>
      </x:c>
      <x:c r="P375" s="16" t="str">
        <x:v>https://arxiv.org/pdf/2409.09661 | role p.2; action p.1; validation p.2; evaluation p.1</x:v>
      </x:c>
      <x:c r="Q375" s="16" t="str">
        <x:v>no</x:v>
      </x:c>
      <x:c r="R375" s="11" t="str"/>
      <x:c r="S375" s="11" t="str">
        <x:v>2026-08-12</x:v>
      </x:c>
      <x:c r="T375" s="18" t="str">
        <x:f>IF(OR(AND(N375="unresolved",LEN(O375)&gt;0,LEN(P375)&gt;0,Q375="yes"),AND(LEN(N375)&gt;0,LEN(O375)&gt;0,LEN(P375)&gt;0,OR(Q375="yes",Q375="no"))),"ready","pending")</x:f>
        <x:v>ready</x:v>
      </x:c>
    </x:row>
    <x:row r="376" ht="44" customHeight="1">
      <x:c r="A376" s="10" t="str">
        <x:v>FMS0443__principal_evidence</x:v>
      </x:c>
      <x:c r="B376" s="11" t="str">
        <x:v>FMS0443</x:v>
      </x:c>
      <x:c r="C376" s="11" t="str">
        <x:v>final_multisource_132</x:v>
      </x:c>
      <x:c r="D376" s="11" t="str">
        <x:v>ContractTinker: LLM-Empowered Vulnerability Repair for Real-World Smart Contracts</x:v>
      </x:c>
      <x:c r="E376" s="11" t="str">
        <x:v>principal reported evidence output</x:v>
      </x:c>
      <x:c r="F376" s="11" t="str">
        <x:v>single-label</x:v>
      </x:c>
      <x:c r="G376" s="11" t="str">
        <x:v>reproducible validation</x:v>
      </x:c>
      <x:c r="H376" s="11" t="str">
        <x:v>candidate judgment</x:v>
      </x:c>
      <x:c r="I376" s="11" t="str">
        <x:v>source-linked lead</x:v>
      </x:c>
      <x:c r="J376" s="11" t="str">
        <x:v>https://arxiv.org/pdf/2409.09661 | role p.2; action p.1; validation p.2; evaluation p.1</x:v>
      </x:c>
      <x:c r="K376" s="11" t="str">
        <x:v>Q1: query to extract relevant Q2: Query to break down Attack LLM Validator Vul Description vulnerability elements Procedures of vulnerability No Yes Text Vul Loc. Information</x:v>
      </x:c>
      <x:c r="L376" s="16" t="str">
        <x:v>A source-linked excerpt and locator are supplied as review leads for auditability.</x:v>
      </x:c>
      <x:c r="M376" s="16" t="str">
        <x:v>Select the observable result most directly supporting the main finding. Benchmark ground truth or aggregate CVE counts do not automatically establish externally traceable material.</x:v>
      </x:c>
      <x:c r="N376" s="16" t="str">
        <x:v>reproducible validation</x:v>
      </x:c>
      <x:c r="O376" s="16" t="str">
        <x:v>The cited source supports the selected label reproducible validation as the main observable result reported for the study.</x:v>
      </x:c>
      <x:c r="P376" s="16" t="str">
        <x:v>https://arxiv.org/pdf/2409.09661 | role p.2; action p.1; validation p.2; evaluation p.1</x:v>
      </x:c>
      <x:c r="Q376" s="16" t="str">
        <x:v>no</x:v>
      </x:c>
      <x:c r="R376" s="11" t="str"/>
      <x:c r="S376" s="11" t="str">
        <x:v>2026-08-12</x:v>
      </x:c>
      <x:c r="T376" s="18" t="str">
        <x:f>IF(OR(AND(N376="unresolved",LEN(O376)&gt;0,LEN(P376)&gt;0,Q376="yes"),AND(LEN(N376)&gt;0,LEN(O376)&gt;0,LEN(P376)&gt;0,OR(Q376="yes",Q376="no"))),"ready","pending")</x:f>
        <x:v>ready</x:v>
      </x:c>
    </x:row>
    <x:row r="377" ht="44" customHeight="1">
      <x:c r="A377" s="10" t="str">
        <x:v>FMS0488__capability</x:v>
      </x:c>
      <x:c r="B377" s="11" t="str">
        <x:v>FMS0488</x:v>
      </x:c>
      <x:c r="C377" s="11" t="str">
        <x:v>final_multisource_132</x:v>
      </x:c>
      <x:c r="D377" s="11" t="str">
        <x:v>CVE-Bench: A Benchmark for AI Agents' Ability to Exploit Real-World Web Application Vulnerabilities</x:v>
      </x:c>
      <x:c r="E377" s="11" t="str">
        <x:v>cross-stage capability</x:v>
      </x:c>
      <x:c r="F377" s="11" t="str">
        <x:v>multi-label</x:v>
      </x:c>
      <x:c r="G377" s="11" t="str">
        <x:v>feedback interpretation / loop adjustment;long-horizon state management;tool routing / strategy routing;validation organization / evidence packaging</x:v>
      </x:c>
      <x:c r="H377" s="11" t="str">
        <x:v>context aggregation / rule extraction;feedback interpretation / loop adjustment;governance / human gates / disclosure control;long-horizon state management;tool routing / strategy routing;validation organization / evidence packaging</x:v>
      </x:c>
      <x:c r="I377" s="11" t="str">
        <x:v>source-linked lead</x:v>
      </x:c>
      <x:c r="J377" s="11" t="str">
        <x:v>https://arxiv.org/pdf/2503.17332 | role p.2; action p.1; feedback p.1; validation p.1; evaluation p.1</x:v>
      </x:c>
      <x:c r="K377" s="11" t="str">
        <x:v>user data (Huang et al., 2017; OWASP, 2021). For example, hensive coverage. Building a benchmark for real- a vulnerability in Twitter’s system resulted in significant world vulnerabilities involves both specialized</x:v>
      </x:c>
      <x:c r="L377" s="16" t="str">
        <x:v>A source-linked excerpt and locator are supplied as review leads for auditability.</x:v>
      </x:c>
      <x:c r="M377" s="16" t="str">
        <x:v>Require an explicit cross-stage connection. Information must guide later action; feedback must alter later action; packaging must assemble prior outputs; governance must enforce an actual gate.</x:v>
      </x:c>
      <x:c r="N377" s="16" t="str">
        <x:v>tool routing / strategy routing;feedback interpretation / loop adjustment;validation organization / evidence packaging;long-horizon state management</x:v>
      </x:c>
      <x:c r="O377" s="16" t="str">
        <x:v>The cited source supports the selected label tool routing / strategy routing;feedback interpretation / loop adjustment;validation organization / evidence packaging;long-horizon state management; each retained label requires an explicit connection that guides later action, feedback, packaging, or a gate.</x:v>
      </x:c>
      <x:c r="P377" s="16" t="str">
        <x:v>https://arxiv.org/pdf/2503.17332 | role p.2; action p.1; feedback p.1; validation p.1; evaluation p.1</x:v>
      </x:c>
      <x:c r="Q377" s="16" t="str">
        <x:v>no</x:v>
      </x:c>
      <x:c r="R377" s="11" t="str"/>
      <x:c r="S377" s="11" t="str">
        <x:v>2026-08-12</x:v>
      </x:c>
      <x:c r="T377" s="18" t="str">
        <x:f>IF(OR(AND(N377="unresolved",LEN(O377)&gt;0,LEN(P377)&gt;0,Q377="yes"),AND(LEN(N377)&gt;0,LEN(O377)&gt;0,LEN(P377)&gt;0,OR(Q377="yes",Q377="no"))),"ready","pending")</x:f>
        <x:v>ready</x:v>
      </x:c>
    </x:row>
    <x:row r="378" ht="44" customHeight="1">
      <x:c r="A378" s="10" t="str">
        <x:v>FMS0558__lifecycle</x:v>
      </x:c>
      <x:c r="B378" s="11" t="str">
        <x:v>FMS0558</x:v>
      </x:c>
      <x:c r="C378" s="11" t="str">
        <x:v>final_multisource_132</x:v>
      </x:c>
      <x:c r="D378" s="11" t="str">
        <x:v>DREA: Decoupled Reasoning and Exploration Agents for Repository-Level Vulnerability Detection</x:v>
      </x:c>
      <x:c r="E378" s="11" t="str">
        <x:v>lifecycle coverage</x:v>
      </x:c>
      <x:c r="F378" s="11" t="str">
        <x:v>multi-label</x:v>
      </x:c>
      <x:c r="G378" s="11" t="str">
        <x:v>candidate analysis</x:v>
      </x:c>
      <x:c r="H378" s="11" t="str">
        <x:v>candidate analysis;path and input exploration;reporting and audit</x:v>
      </x:c>
      <x:c r="I378" s="11" t="str">
        <x:v>source-linked lead</x:v>
      </x:c>
      <x:c r="J378" s="11" t="str">
        <x:v>https://arxiv.org/pdf/2607.13439 | role p.1; action p.1; feedback p.7; validation p.1; evaluation p.1</x:v>
      </x:c>
      <x:c r="K378" s="11" t="str">
        <x:v>cannot adaptively gather reasoning from exploration through two collaborating agents: a the information needed for correct security judgments. planning agent backed by an advanced LLM that forms vulnerability Practical vulnerability auditing is inherent</x:v>
      </x:c>
      <x:c r="L378" s="16" t="str">
        <x:v>A source-linked excerpt and locator are supplied as review leads for auditability.</x:v>
      </x:c>
      <x:c r="M378" s="16" t="str">
        <x:v>Mark only observable lifecycle actions or outputs. Reporting and audit requires explicit packaging, routing, disclosure, or audit transition; a report name alone is insufficient.</x:v>
      </x:c>
      <x:c r="N378" s="16" t="str">
        <x:v>candidate analysis</x:v>
      </x:c>
      <x:c r="O378" s="16" t="str">
        <x:v>The cited source supports the selected label candidate analysis; only observable workflow actions or outputs were retained.</x:v>
      </x:c>
      <x:c r="P378" s="16" t="str">
        <x:v>https://arxiv.org/pdf/2607.13439 | role p.1; action p.1; feedback p.7; validation p.1; evaluation p.1</x:v>
      </x:c>
      <x:c r="Q378" s="16" t="str">
        <x:v>no</x:v>
      </x:c>
      <x:c r="R378" s="11" t="str"/>
      <x:c r="S378" s="11" t="str">
        <x:v>2026-08-12</x:v>
      </x:c>
      <x:c r="T378" s="18" t="str">
        <x:f>IF(OR(AND(N378="unresolved",LEN(O378)&gt;0,LEN(P378)&gt;0,Q378="yes"),AND(LEN(N378)&gt;0,LEN(O378)&gt;0,LEN(P378)&gt;0,OR(Q378="yes",Q378="no"))),"ready","pending")</x:f>
        <x:v>ready</x:v>
      </x:c>
    </x:row>
    <x:row r="379" ht="44" customHeight="1">
      <x:c r="A379" s="10" t="str">
        <x:v>FMS0558__capability</x:v>
      </x:c>
      <x:c r="B379" s="11" t="str">
        <x:v>FMS0558</x:v>
      </x:c>
      <x:c r="C379" s="11" t="str">
        <x:v>final_multisource_132</x:v>
      </x:c>
      <x:c r="D379" s="11" t="str">
        <x:v>DREA: Decoupled Reasoning and Exploration Agents for Repository-Level Vulnerability Detection</x:v>
      </x:c>
      <x:c r="E379" s="11" t="str">
        <x:v>cross-stage capability</x:v>
      </x:c>
      <x:c r="F379" s="11" t="str">
        <x:v>multi-label</x:v>
      </x:c>
      <x:c r="G379" s="11" t="str">
        <x:v>context aggregation / rule extraction;feedback interpretation / loop adjustment;long-horizon state management;tool routing / strategy routing</x:v>
      </x:c>
      <x:c r="H379" s="11" t="str">
        <x:v>context aggregation / rule extraction;feedback interpretation / loop adjustment;long-horizon state management;tool routing / strategy routing;validation organization / evidence packaging</x:v>
      </x:c>
      <x:c r="I379" s="11" t="str">
        <x:v>source-linked lead</x:v>
      </x:c>
      <x:c r="J379" s="11" t="str">
        <x:v>https://arxiv.org/pdf/2607.13439 | role p.1; action p.1; feedback p.7; validation p.1; evaluation p.1</x:v>
      </x:c>
      <x:c r="K379" s="11" t="str">
        <x:v>position. These profiles shift the operating point along a coverage– only a small fraction of tokens to the expensive model. reliability trade-off: DeepSeek-V3.2 suits recall-oriented security Finding 2. Separating Planner and Explorer makes repository- audits where missing a vulnerability is costly, while GPT-</x:v>
      </x:c>
      <x:c r="L379" s="16" t="str">
        <x:v>A source-linked excerpt and locator are supplied as review leads for auditability.</x:v>
      </x:c>
      <x:c r="M379" s="16" t="str">
        <x:v>Require an explicit cross-stage connection. Information must guide later action; feedback must alter later action; packaging must assemble prior outputs; governance must enforce an actual gate.</x:v>
      </x:c>
      <x:c r="N379" s="16" t="str">
        <x:v>context aggregation / rule extraction;tool routing / strategy routing;feedback interpretation / loop adjustment;long-horizon state management</x:v>
      </x:c>
      <x:c r="O379"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379" s="16" t="str">
        <x:v>https://arxiv.org/pdf/2607.13439 | role p.1; action p.1; feedback p.7; validation p.1; evaluation p.1</x:v>
      </x:c>
      <x:c r="Q379" s="16" t="str">
        <x:v>no</x:v>
      </x:c>
      <x:c r="R379" s="11" t="str"/>
      <x:c r="S379" s="11" t="str">
        <x:v>2026-08-12</x:v>
      </x:c>
      <x:c r="T379" s="18" t="str">
        <x:f>IF(OR(AND(N379="unresolved",LEN(O379)&gt;0,LEN(P379)&gt;0,Q379="yes"),AND(LEN(N379)&gt;0,LEN(O379)&gt;0,LEN(P379)&gt;0,OR(Q379="yes",Q379="no"))),"ready","pending")</x:f>
        <x:v>ready</x:v>
      </x:c>
    </x:row>
    <x:row r="380" ht="44" customHeight="1">
      <x:c r="A380" s="10" t="str">
        <x:v>FMS0659__lifecycle</x:v>
      </x:c>
      <x:c r="B380" s="11" t="str">
        <x:v>FMS0659</x:v>
      </x:c>
      <x:c r="C380" s="11" t="str">
        <x:v>final_multisource_132</x:v>
      </x:c>
      <x:c r="D380" s="11" t="str">
        <x:v>Fixing Security Vulnerabilities with AI in OSS-Fuzz</x:v>
      </x:c>
      <x:c r="E380" s="11" t="str">
        <x:v>lifecycle coverage</x:v>
      </x:c>
      <x:c r="F380" s="11" t="str">
        <x:v>multi-label</x:v>
      </x:c>
      <x:c r="G380" s="11" t="str">
        <x:v>candidate analysis;execution observation;patch validation</x:v>
      </x:c>
      <x:c r="H380" s="11" t="str">
        <x:v>candidate analysis;execution observation;patch validation;path and input exploration;reporting and audit;reproduction and validation</x:v>
      </x:c>
      <x:c r="I380" s="11" t="str">
        <x:v>source-linked lead</x:v>
      </x:c>
      <x:c r="J380" s="11" t="str">
        <x:v>https://yuntongzhang.github.io/assets/pdf/icse26-seip.pdf | role p.1; action p.1; feedback p.1; validation p.1; evaluation p.1</x:v>
      </x:c>
      <x:c r="K380" s="11" t="str">
        <x:v>o settings. On a benchmark of historical vulnerabilities detected cation code could come from Large Language Models (LLMs) with by OSS-Fuzz, our agent generates plausible patches for 61% to little security assurance. 72% of the cases. We then conduct t</x:v>
      </x:c>
      <x:c r="L380" s="16" t="str">
        <x:v>A source-linked excerpt and locator are supplied as review leads for auditability.</x:v>
      </x:c>
      <x:c r="M380" s="16" t="str">
        <x:v>Mark only observable lifecycle actions or outputs. Reporting and audit requires explicit packaging, routing, disclosure, or audit transition; a report name alone is insufficient.</x:v>
      </x:c>
      <x:c r="N380" s="16" t="str">
        <x:v>candidate analysis;execution observation;patch validation</x:v>
      </x:c>
      <x:c r="O380" s="16" t="str">
        <x:v>The cited source supports the selected label candidate analysis;execution observation;patch validation; only observable workflow actions or outputs were retained.</x:v>
      </x:c>
      <x:c r="P380" s="16" t="str">
        <x:v>https://yuntongzhang.github.io/assets/pdf/icse26-seip.pdf | role p.1; action p.1; feedback p.1; validation p.1; evaluation p.1</x:v>
      </x:c>
      <x:c r="Q380" s="16" t="str">
        <x:v>no</x:v>
      </x:c>
      <x:c r="R380" s="11" t="str"/>
      <x:c r="S380" s="11" t="str">
        <x:v>2026-08-12</x:v>
      </x:c>
      <x:c r="T380" s="18" t="str">
        <x:f>IF(OR(AND(N380="unresolved",LEN(O380)&gt;0,LEN(P380)&gt;0,Q380="yes"),AND(LEN(N380)&gt;0,LEN(O380)&gt;0,LEN(P380)&gt;0,OR(Q380="yes",Q380="no"))),"ready","pending")</x:f>
        <x:v>ready</x:v>
      </x:c>
    </x:row>
    <x:row r="381" ht="44" customHeight="1">
      <x:c r="A381" s="10" t="str">
        <x:v>FMS0659__principal_evidence</x:v>
      </x:c>
      <x:c r="B381" s="11" t="str">
        <x:v>FMS0659</x:v>
      </x:c>
      <x:c r="C381" s="11" t="str">
        <x:v>final_multisource_132</x:v>
      </x:c>
      <x:c r="D381" s="11" t="str">
        <x:v>Fixing Security Vulnerabilities with AI in OSS-Fuzz</x:v>
      </x:c>
      <x:c r="E381" s="11" t="str">
        <x:v>principal reported evidence output</x:v>
      </x:c>
      <x:c r="F381" s="11" t="str">
        <x:v>single-label</x:v>
      </x:c>
      <x:c r="G381" s="11" t="str">
        <x:v>reproducible validation</x:v>
      </x:c>
      <x:c r="H381" s="11" t="str">
        <x:v>externally traceable material</x:v>
      </x:c>
      <x:c r="I381" s="11" t="str">
        <x:v>source-linked lead</x:v>
      </x:c>
      <x:c r="J381" s="11" t="str">
        <x:v>https://yuntongzhang.github.io/assets/pdf/icse26-seip.pdf | role p.1; action p.1; feedback p.1; validation p.1; evaluation p.1</x:v>
      </x:c>
      <x:c r="K381" s="11" t="str">
        <x:v>5/3786583.3786880 importance. Currently OSS-Fuzz is the most significant and widely used infra-structure for continuous validation of open source sys- 1 Introduction tems. Unfortunately even though OSS-Fuzz has identified more Security vulnerabilities are one of the major threats to modern than 13,000 vulnerabilities across 1000 or more software projects, software systems. Once exploited by malicious attackers,</x:v>
      </x:c>
      <x:c r="L381" s="16" t="str">
        <x:v>A source-linked excerpt and locator are supplied as review leads for auditability.</x:v>
      </x:c>
      <x:c r="M381" s="16" t="str">
        <x:v>Select the observable result most directly supporting the main finding. Benchmark ground truth or aggregate CVE counts do not automatically establish externally traceable material.</x:v>
      </x:c>
      <x:c r="N381" s="16" t="str">
        <x:v>reproducible validation</x:v>
      </x:c>
      <x:c r="O381" s="16" t="str">
        <x:v>The cited source supports the selected label reproducible validation as the main observable result reported for the study.</x:v>
      </x:c>
      <x:c r="P381" s="16" t="str">
        <x:v>https://yuntongzhang.github.io/assets/pdf/icse26-seip.pdf | role p.1; action p.1; feedback p.1; validation p.1; evaluation p.1</x:v>
      </x:c>
      <x:c r="Q381" s="16" t="str">
        <x:v>no</x:v>
      </x:c>
      <x:c r="R381" s="11" t="str"/>
      <x:c r="S381" s="11" t="str">
        <x:v>2026-08-12</x:v>
      </x:c>
      <x:c r="T381" s="18" t="str">
        <x:f>IF(OR(AND(N381="unresolved",LEN(O381)&gt;0,LEN(P381)&gt;0,Q381="yes"),AND(LEN(N381)&gt;0,LEN(O381)&gt;0,LEN(P381)&gt;0,OR(Q381="yes",Q381="no"))),"ready","pending")</x:f>
        <x:v>ready</x:v>
      </x:c>
    </x:row>
    <x:row r="382" ht="44" customHeight="1">
      <x:c r="A382" s="10" t="str">
        <x:v>FMS0659__external_traceability</x:v>
      </x:c>
      <x:c r="B382" s="11" t="str">
        <x:v>FMS0659</x:v>
      </x:c>
      <x:c r="C382" s="11" t="str">
        <x:v>final_multisource_132</x:v>
      </x:c>
      <x:c r="D382" s="11" t="str">
        <x:v>Fixing Security Vulnerabilities with AI in OSS-Fuzz</x:v>
      </x:c>
      <x:c r="E382" s="11" t="str">
        <x:v>external traceability</x:v>
      </x:c>
      <x:c r="F382" s="11" t="str">
        <x:v>single-label</x:v>
      </x:c>
      <x:c r="G382" s="11" t="str">
        <x:v>benchmark ground truth / public material</x:v>
      </x:c>
      <x:c r="H382" s="11" t="str">
        <x:v>publicly aligned external trace</x:v>
      </x:c>
      <x:c r="I382" s="11" t="str">
        <x:v>source-linked lead</x:v>
      </x:c>
      <x:c r="J382" s="11" t="str">
        <x:v>https://yuntongzhang.github.io/assets/pdf/icse26-seip.pdf | role p.1; action p.1; feedback p.1; validation p.1; evaluation p.1</x:v>
      </x:c>
      <x:c r="K382" s="11" t="str">
        <x:v>advancement in automatic programming with generative AI could generation with static typing information. We evaluate our agent in further exacerbate the security issues, since some parts of the appli- two settings. On a benchmark of historical vulnerabilities detected cation code could come from Large Language Models (LLMs) with by OSS-Fuzz, our agent generates plausible patches for 61% to little security assurance. 72% of the</x:v>
      </x:c>
      <x:c r="L382" s="16" t="str">
        <x:v>A source-linked excerpt and locator are supplied as review leads for auditability.</x:v>
      </x:c>
      <x:c r="M382" s="16" t="str">
        <x:v>Code separately from principal output. Only item-level alignment between a concrete system result and a specific public external record qualifies as publicly aligned external trace.</x:v>
      </x:c>
      <x:c r="N382" s="16" t="str">
        <x:v>benchmark ground truth / public material</x:v>
      </x:c>
      <x:c r="O382" s="16" t="str">
        <x:v>The cited source supports the selected label benchmark ground truth / public material under the codebook's item-level public-record alignment criterion.</x:v>
      </x:c>
      <x:c r="P382" s="16" t="str">
        <x:v>https://yuntongzhang.github.io/assets/pdf/icse26-seip.pdf | role p.1; action p.1; feedback p.1; validation p.1; evaluation p.1</x:v>
      </x:c>
      <x:c r="Q382" s="16" t="str">
        <x:v>no</x:v>
      </x:c>
      <x:c r="R382" s="11" t="str"/>
      <x:c r="S382" s="11" t="str">
        <x:v>2026-08-12</x:v>
      </x:c>
      <x:c r="T382" s="18" t="str">
        <x:f>IF(OR(AND(N382="unresolved",LEN(O382)&gt;0,LEN(P382)&gt;0,Q382="yes"),AND(LEN(N382)&gt;0,LEN(O382)&gt;0,LEN(P382)&gt;0,OR(Q382="yes",Q382="no"))),"ready","pending")</x:f>
        <x:v>ready</x:v>
      </x:c>
    </x:row>
    <x:row r="383" ht="44" customHeight="1">
      <x:c r="A383" s="10" t="str">
        <x:v>FMS0742__capability</x:v>
      </x:c>
      <x:c r="B383" s="11" t="str">
        <x:v>FMS0742</x:v>
      </x:c>
      <x:c r="C383" s="11" t="str">
        <x:v>final_multisource_132</x:v>
      </x:c>
      <x:c r="D383" s="11" t="str">
        <x:v>Guiding AI to Fix Its Own Flaws: An Empirical Study on LLM-Driven Secure Code Generation</x:v>
      </x:c>
      <x:c r="E383" s="11" t="str">
        <x:v>cross-stage capability</x:v>
      </x:c>
      <x:c r="F383" s="11" t="str">
        <x:v>multi-label</x:v>
      </x:c>
      <x:c r="G383" s="11" t="str">
        <x:v>context aggregation / rule extraction;feedback interpretation / loop adjustment;long-horizon state management;validation organization / evidence packaging</x:v>
      </x:c>
      <x:c r="H383" s="11" t="str">
        <x:v>context aggregation / rule extraction;feedback interpretation / loop adjustment;validation organization / evidence packaging</x:v>
      </x:c>
      <x:c r="I383" s="11" t="str">
        <x:v>source-linked lead</x:v>
      </x:c>
      <x:c r="J383" s="11" t="str">
        <x:v>https://arxiv.org/pdf/2506.23034 | role p.1; action p.1; feedback p.1; validation p.3; evaluation p.1</x:v>
      </x:c>
      <x:c r="K383" s="11" t="str">
        <x:v>in repairing code containing vulnerabilities. Feedback In this paper, we present a comprehensive evaluation of state-of- the-art LLMs by examining their inherent tendencies to produce insecure code, their capability to generate secure code when guided Assessment of Proa</x:v>
      </x:c>
      <x:c r="L383" s="16" t="str">
        <x:v>A source-linked excerpt and locator are supplied as review leads for auditability.</x:v>
      </x:c>
      <x:c r="M383" s="16" t="str">
        <x:v>Require an explicit cross-stage connection. Information must guide later action; feedback must alter later action; packaging must assemble prior outputs; governance must enforce an actual gate.</x:v>
      </x:c>
      <x:c r="N383" s="16" t="str">
        <x:v>context aggregation / rule extraction;feedback interpretation / loop adjustment;validation organization / evidence packaging;long-horizon state management</x:v>
      </x:c>
      <x:c r="O383" s="16" t="str">
        <x:v>The cited source supports the selected label context aggregation / rule extraction;feedback interpretation / loop adjustment;validation organization / evidence packaging;long-horizon state management; each retained label requires an explicit connection that guides later action, feedback, packaging, or a gate.</x:v>
      </x:c>
      <x:c r="P383" s="16" t="str">
        <x:v>https://arxiv.org/pdf/2506.23034 | role p.1; action p.1; feedback p.1; validation p.3; evaluation p.1</x:v>
      </x:c>
      <x:c r="Q383" s="16" t="str">
        <x:v>no</x:v>
      </x:c>
      <x:c r="R383" s="11" t="str"/>
      <x:c r="S383" s="11" t="str">
        <x:v>2026-08-12</x:v>
      </x:c>
      <x:c r="T383" s="18" t="str">
        <x:f>IF(OR(AND(N383="unresolved",LEN(O383)&gt;0,LEN(P383)&gt;0,Q383="yes"),AND(LEN(N383)&gt;0,LEN(O383)&gt;0,LEN(P383)&gt;0,OR(Q383="yes",Q383="no"))),"ready","pending")</x:f>
        <x:v>ready</x:v>
      </x:c>
    </x:row>
    <x:row r="384" ht="44" customHeight="1">
      <x:c r="A384" s="10" t="str">
        <x:v>FMS0752__lifecycle</x:v>
      </x:c>
      <x:c r="B384" s="11" t="str">
        <x:v>FMS0752</x:v>
      </x:c>
      <x:c r="C384" s="11" t="str">
        <x:v>final_multisource_132</x:v>
      </x:c>
      <x:c r="D384" s="11" t="str">
        <x:v>HarnessAgent: Scaling Automatic Fuzzing Harness Construction with Tool-Augmented LLM Pipelines</x:v>
      </x:c>
      <x:c r="E384" s="11" t="str">
        <x:v>lifecycle coverage</x:v>
      </x:c>
      <x:c r="F384" s="11" t="str">
        <x:v>multi-label</x:v>
      </x:c>
      <x:c r="G384" s="11" t="str">
        <x:v>execution observation;path and input exploration;reproduction and validation</x:v>
      </x:c>
      <x:c r="H384" s="11" t="str">
        <x:v>execution observation;path and input exploration</x:v>
      </x:c>
      <x:c r="I384" s="11" t="str">
        <x:v>source-linked lead</x:v>
      </x:c>
      <x:c r="J384" s="11" t="str">
        <x:v>https://arxiv.org/pdf/2512.03420 | role p.1; action p.1; feedback p.1; validation p.1; evaluation p.1</x:v>
      </x:c>
      <x:c r="K384" s="11" t="str">
        <x:v>of the three-shot success rate by approximately 20% compared Large Language Models (LLMs) in synthesizing functional to state-of-the-art techniques, reaching 87% for C and 81% source code [13], [14] and reasoning over complex program- for C++. Our one-hour fuzzing results show that more</x:v>
      </x:c>
      <x:c r="L384" s="16" t="str">
        <x:v>A source-linked excerpt and locator are supplied as review leads for auditability.</x:v>
      </x:c>
      <x:c r="M384" s="16" t="str">
        <x:v>Mark only observable lifecycle actions or outputs. Reporting and audit requires explicit packaging, routing, disclosure, or audit transition; a report name alone is insufficient.</x:v>
      </x:c>
      <x:c r="N384" s="16" t="str">
        <x:v>path and input exploration;execution observation;reproduction and validation</x:v>
      </x:c>
      <x:c r="O384" s="16" t="str">
        <x:v>The cited source supports the selected label path and input exploration;execution observation;reproduction and validation; only observable workflow actions or outputs were retained.</x:v>
      </x:c>
      <x:c r="P384" s="16" t="str">
        <x:v>https://arxiv.org/pdf/2512.03420 | role p.1; action p.1; feedback p.1; validation p.1; evaluation p.1</x:v>
      </x:c>
      <x:c r="Q384" s="16" t="str">
        <x:v>no</x:v>
      </x:c>
      <x:c r="R384" s="11" t="str"/>
      <x:c r="S384" s="11" t="str">
        <x:v>2026-08-12</x:v>
      </x:c>
      <x:c r="T384" s="18" t="str">
        <x:f>IF(OR(AND(N384="unresolved",LEN(O384)&gt;0,LEN(P384)&gt;0,Q384="yes"),AND(LEN(N384)&gt;0,LEN(O384)&gt;0,LEN(P384)&gt;0,OR(Q384="yes",Q384="no"))),"ready","pending")</x:f>
        <x:v>ready</x:v>
      </x:c>
    </x:row>
    <x:row r="385" ht="44" customHeight="1">
      <x:c r="A385" s="10" t="str">
        <x:v>FMS0752__capability</x:v>
      </x:c>
      <x:c r="B385" s="11" t="str">
        <x:v>FMS0752</x:v>
      </x:c>
      <x:c r="C385" s="11" t="str">
        <x:v>final_multisource_132</x:v>
      </x:c>
      <x:c r="D385" s="11" t="str">
        <x:v>HarnessAgent: Scaling Automatic Fuzzing Harness Construction with Tool-Augmented LLM Pipelines</x:v>
      </x:c>
      <x:c r="E385" s="11" t="str">
        <x:v>cross-stage capability</x:v>
      </x:c>
      <x:c r="F385" s="11" t="str">
        <x:v>multi-label</x:v>
      </x:c>
      <x:c r="G385" s="11" t="str">
        <x:v>context aggregation / rule extraction;failure reuse / strategy update;feedback interpretation / loop adjustment;long-horizon state management;tool routing / strategy routing;validation organization / evidence packaging</x:v>
      </x:c>
      <x:c r="H385" s="11" t="str">
        <x:v>context aggregation / rule extraction;failure reuse / strategy update;feedback interpretation / loop adjustment;tool routing / strategy routing;validation organization / evidence packaging</x:v>
      </x:c>
      <x:c r="I385" s="11" t="str">
        <x:v>source-linked lead</x:v>
      </x:c>
      <x:c r="J385" s="11" t="str">
        <x:v>https://arxiv.org/pdf/2512.03420 | role p.1; action p.1; feedback p.1; validation p.1; evaluation p.1</x:v>
      </x:c>
      <x:c r="K385" s="11" t="str">
        <x:v>r robust symbol source code retrieval; and 3) an enhanced runtime feedback [5], [11], [12] often struggle with incorrect harness validation pipeline that detects fake definitions. We execution contexts or function invocations, especially in the evaluate HarnessAgent on 243 target functions from OSS-Fuzz context of internal functions,</x:v>
      </x:c>
      <x:c r="L385" s="16" t="str">
        <x:v>A source-linked excerpt and locator are supplied as review leads for auditability.</x:v>
      </x:c>
      <x:c r="M385" s="16" t="str">
        <x:v>Require an explicit cross-stage connection. Information must guide later action; feedback must alter later action; packaging must assemble prior outputs; governance must enforce an actual gate.</x:v>
      </x:c>
      <x:c r="N385" s="16" t="str">
        <x:v>context aggregation / rule extraction;tool routing / strategy routing;feedback interpretation / loop adjustment;validation organization / evidence packaging;long-horizon state management;failure reuse / strategy update</x:v>
      </x:c>
      <x:c r="O385"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385" s="16" t="str">
        <x:v>https://arxiv.org/pdf/2512.03420 | role p.1; action p.1; feedback p.1; validation p.1; evaluation p.1</x:v>
      </x:c>
      <x:c r="Q385" s="16" t="str">
        <x:v>no</x:v>
      </x:c>
      <x:c r="R385" s="11" t="str"/>
      <x:c r="S385" s="11" t="str">
        <x:v>2026-08-12</x:v>
      </x:c>
      <x:c r="T385" s="18" t="str">
        <x:f>IF(OR(AND(N385="unresolved",LEN(O385)&gt;0,LEN(P385)&gt;0,Q385="yes"),AND(LEN(N385)&gt;0,LEN(O385)&gt;0,LEN(P385)&gt;0,OR(Q385="yes",Q385="no"))),"ready","pending")</x:f>
        <x:v>ready</x:v>
      </x:c>
    </x:row>
    <x:row r="386" ht="44" customHeight="1">
      <x:c r="A386" s="10" t="str">
        <x:v>FMS0752__principal_evidence</x:v>
      </x:c>
      <x:c r="B386" s="11" t="str">
        <x:v>FMS0752</x:v>
      </x:c>
      <x:c r="C386" s="11" t="str">
        <x:v>final_multisource_132</x:v>
      </x:c>
      <x:c r="D386" s="11" t="str">
        <x:v>HarnessAgent: Scaling Automatic Fuzzing Harness Construction with Tool-Augmented LLM Pipelines</x:v>
      </x:c>
      <x:c r="E386" s="11" t="str">
        <x:v>principal reported evidence output</x:v>
      </x:c>
      <x:c r="F386" s="11" t="str">
        <x:v>single-label</x:v>
      </x:c>
      <x:c r="G386" s="11" t="str">
        <x:v>controlled task completion</x:v>
      </x:c>
      <x:c r="H386" s="11" t="str">
        <x:v>runtime safety signal</x:v>
      </x:c>
      <x:c r="I386" s="11" t="str">
        <x:v>source-linked lead</x:v>
      </x:c>
      <x:c r="J386" s="11" t="str">
        <x:v>https://arxiv.org/pdf/2512.03420 | role p.1; action p.1; feedback p.1; validation p.1; evaluation p.1</x:v>
      </x:c>
      <x:c r="K386" s="11" t="str">
        <x:v>understanding and significant manual Furthermore, LLMs tend to exploit harness validation metrics, effort [6], [7]. As a result, fuzzing internal functions in large- producing plausible yet logically useless code. scale systems remains difficult, limiting the reach of fuzzing To address these challenges, we present HarnessAgent,</x:v>
      </x:c>
      <x:c r="L386" s="16" t="str">
        <x:v>A source-linked excerpt and locator are supplied as review leads for auditability.</x:v>
      </x:c>
      <x:c r="M386" s="16" t="str">
        <x:v>Select the observable result most directly supporting the main finding. Benchmark ground truth or aggregate CVE counts do not automatically establish externally traceable material.</x:v>
      </x:c>
      <x:c r="N386" s="16" t="str">
        <x:v>controlled task completion</x:v>
      </x:c>
      <x:c r="O386" s="16" t="str">
        <x:v>The cited source supports the selected label controlled task completion as the main observable result reported for the study.</x:v>
      </x:c>
      <x:c r="P386" s="16" t="str">
        <x:v>https://arxiv.org/pdf/2512.03420 | role p.1; action p.1; feedback p.1; validation p.1; evaluation p.1</x:v>
      </x:c>
      <x:c r="Q386" s="16" t="str">
        <x:v>no</x:v>
      </x:c>
      <x:c r="R386" s="11" t="str"/>
      <x:c r="S386" s="11" t="str">
        <x:v>2026-08-12</x:v>
      </x:c>
      <x:c r="T386" s="18" t="str">
        <x:f>IF(OR(AND(N386="unresolved",LEN(O386)&gt;0,LEN(P386)&gt;0,Q386="yes"),AND(LEN(N386)&gt;0,LEN(O386)&gt;0,LEN(P386)&gt;0,OR(Q386="yes",Q386="no"))),"ready","pending")</x:f>
        <x:v>ready</x:v>
      </x:c>
    </x:row>
    <x:row r="387" ht="44" customHeight="1">
      <x:c r="A387" s="10" t="str">
        <x:v>FMS0782__capability</x:v>
      </x:c>
      <x:c r="B387" s="11" t="str">
        <x:v>FMS0782</x:v>
      </x:c>
      <x:c r="C387" s="11" t="str">
        <x:v>final_multisource_132</x:v>
      </x:c>
      <x:c r="D387" s="11" t="str">
        <x:v>How Well Do Large Language Models Serve as End-to-End Secure Code Agents for Python?</x:v>
      </x:c>
      <x:c r="E387" s="11" t="str">
        <x:v>cross-stage capability</x:v>
      </x:c>
      <x:c r="F387" s="11" t="str">
        <x:v>multi-label</x:v>
      </x:c>
      <x:c r="G387" s="11" t="str">
        <x:v>feedback interpretation / loop adjustment;long-horizon state management;validation organization / evidence packaging</x:v>
      </x:c>
      <x:c r="H387" s="11" t="str">
        <x:v>context aggregation / rule extraction;feedback interpretation / loop adjustment;validation organization / evidence packaging</x:v>
      </x:c>
      <x:c r="I387" s="11" t="str">
        <x:v>source-linked lead</x:v>
      </x:c>
      <x:c r="J387" s="11" t="str">
        <x:v>https://arxiv.org/pdf/2408.10495 | role p.1; action p.1; feedback p.1; validation p.1; evaluation p.1</x:v>
      </x:c>
      <x:c r="K387" s="11" t="str">
        <x:v>niques; Software verification and validation; • Security and rity iteratively. Despite growing prominence, LLMs’ effectiveness privacy → Software and application security. in performing such end-to-end tasks remains unexplored. This paper bridges this gap by systematically investigating the capability</x:v>
      </x:c>
      <x:c r="L387" s="16" t="str">
        <x:v>A source-linked excerpt and locator are supplied as review leads for auditability.</x:v>
      </x:c>
      <x:c r="M387" s="16" t="str">
        <x:v>Require an explicit cross-stage connection. Information must guide later action; feedback must alter later action; packaging must assemble prior outputs; governance must enforce an actual gate.</x:v>
      </x:c>
      <x:c r="N387" s="16" t="str">
        <x:v>feedback interpretation / loop adjustment;validation organization / evidence packaging;long-horizon state management</x:v>
      </x:c>
      <x:c r="O387" s="16" t="str">
        <x:v>The cited source supports the selected label feedback interpretation / loop adjustment;validation organization / evidence packaging;long-horizon state management; each retained label requires an explicit connection that guides later action, feedback, packaging, or a gate.</x:v>
      </x:c>
      <x:c r="P387" s="16" t="str">
        <x:v>https://arxiv.org/pdf/2408.10495 | role p.1; action p.1; feedback p.1; validation p.1; evaluation p.1</x:v>
      </x:c>
      <x:c r="Q387" s="16" t="str">
        <x:v>no</x:v>
      </x:c>
      <x:c r="R387" s="11" t="str"/>
      <x:c r="S387" s="11" t="str">
        <x:v>2026-08-12</x:v>
      </x:c>
      <x:c r="T387" s="18" t="str">
        <x:f>IF(OR(AND(N387="unresolved",LEN(O387)&gt;0,LEN(P387)&gt;0,Q387="yes"),AND(LEN(N387)&gt;0,LEN(O387)&gt;0,LEN(P387)&gt;0,OR(Q387="yes",Q387="no"))),"ready","pending")</x:f>
        <x:v>ready</x:v>
      </x:c>
    </x:row>
    <x:row r="388" ht="44" customHeight="1">
      <x:c r="A388" s="10" t="str">
        <x:v>FMS0800__capability</x:v>
      </x:c>
      <x:c r="B388" s="11" t="str">
        <x:v>FMS0800</x:v>
      </x:c>
      <x:c r="C388" s="11" t="str">
        <x:v>final_multisource_132</x:v>
      </x:c>
      <x:c r="D388" s="11" t="str">
        <x:v>Improving LLM-Assisted Secure Code Generation through Retrieval-Augmented-Generation and Multi-Tool Feedback</x:v>
      </x:c>
      <x:c r="E388" s="11" t="str">
        <x:v>cross-stage capability</x:v>
      </x:c>
      <x:c r="F388" s="11" t="str">
        <x:v>multi-label</x:v>
      </x:c>
      <x:c r="G388" s="11" t="str">
        <x:v>context aggregation / rule extraction;failure reuse / strategy update;feedback interpretation / loop adjustment;long-horizon state management;tool routing / strategy routing;validation organization / evidence packaging</x:v>
      </x:c>
      <x:c r="H388" s="11" t="str">
        <x:v>context aggregation / rule extraction;failure reuse / strategy update;feedback interpretation / loop adjustment;tool routing / strategy routing;validation organization / evidence packaging</x:v>
      </x:c>
      <x:c r="I388" s="11" t="str">
        <x:v>source-linked lead</x:v>
      </x:c>
      <x:c r="J388" s="11" t="str">
        <x:v>https://arxiv.org/pdf/2601.00509 | role p.1; action p.1; feedback p.1; evaluation p.2</x:v>
      </x:c>
      <x:c r="K388" s="11" t="str">
        <x:v>ode Generation through Retrieval-Augmented-Generation and Multi-Tool Feedback Vidyut Sriram Sawan Pandita Achintya Lakshmanan Pennsylvania State University Pennsylvania State University Pennsylvania State University vps5353@psu.edu sbp5882@psu.edu</x:v>
      </x:c>
      <x:c r="L388" s="16" t="str">
        <x:v>A source-linked excerpt and locator are supplied as review leads for auditability.</x:v>
      </x:c>
      <x:c r="M388" s="16" t="str">
        <x:v>Require an explicit cross-stage connection. Information must guide later action; feedback must alter later action; packaging must assemble prior outputs; governance must enforce an actual gate.</x:v>
      </x:c>
      <x:c r="N388" s="16" t="str">
        <x:v>context aggregation / rule extraction;tool routing / strategy routing;feedback interpretation / loop adjustment;validation organization / evidence packaging;long-horizon state management;failure reuse / strategy update</x:v>
      </x:c>
      <x:c r="O388" s="16" t="str">
        <x:v>The cited source supports the selected label context aggregation / rule extraction;tool routing / strategy routing;feedback interpretation / loop adjustment;validation organization / evidence packaging;long-horizon state management;failure reuse / strategy update; each retained label requires an explicit connection that guides later action, feedback, packaging, or a gate.</x:v>
      </x:c>
      <x:c r="P388" s="16" t="str">
        <x:v>https://arxiv.org/pdf/2601.00509 | role p.1; action p.1; feedback p.1; evaluation p.2</x:v>
      </x:c>
      <x:c r="Q388" s="16" t="str">
        <x:v>no</x:v>
      </x:c>
      <x:c r="R388" s="11" t="str"/>
      <x:c r="S388" s="11" t="str">
        <x:v>2026-08-12</x:v>
      </x:c>
      <x:c r="T388" s="18" t="str">
        <x:f>IF(OR(AND(N388="unresolved",LEN(O388)&gt;0,LEN(P388)&gt;0,Q388="yes"),AND(LEN(N388)&gt;0,LEN(O388)&gt;0,LEN(P388)&gt;0,OR(Q388="yes",Q388="no"))),"ready","pending")</x:f>
        <x:v>ready</x:v>
      </x:c>
    </x:row>
    <x:row r="389" ht="44" customHeight="1">
      <x:c r="A389" s="10" t="str">
        <x:v>FMS0913__lifecycle</x:v>
      </x:c>
      <x:c r="B389" s="11" t="str">
        <x:v>FMS0913</x:v>
      </x:c>
      <x:c r="C389" s="11" t="str">
        <x:v>final_multisource_132</x:v>
      </x:c>
      <x:c r="D389" s="11" t="str">
        <x:v>LLM-based Vulnerability Detection at Project Scale: An Empirical Study</x:v>
      </x:c>
      <x:c r="E389" s="11" t="str">
        <x:v>lifecycle coverage</x:v>
      </x:c>
      <x:c r="F389" s="11" t="str">
        <x:v>multi-label</x:v>
      </x:c>
      <x:c r="G389" s="11" t="str">
        <x:v>candidate analysis;reporting and audit</x:v>
      </x:c>
      <x:c r="H389" s="11" t="str">
        <x:v>candidate analysis;path and input exploration;reporting and audit</x:v>
      </x:c>
      <x:c r="I389" s="11" t="str">
        <x:v>source-linked lead</x:v>
      </x:c>
      <x:c r="J389" s="11" t="str">
        <x:v>https://arxiv.org/pdf/2601.19239 | role p.1; action p.1; feedback p.1; validation p.2; evaluation p.1</x:v>
      </x:c>
      <x:c r="K389" s="11" t="str">
        <x:v>knowledge as manually engineered nerability detection essential. While recent LLM-based detectors rules, patterns, and data-flow templates that search for known combine semantic reasoning with static analysis for project-scale scanning, their real-world effectiveness remains unclear,</x:v>
      </x:c>
      <x:c r="L389" s="16" t="str">
        <x:v>A source-linked excerpt and locator are supplied as review leads for auditability.</x:v>
      </x:c>
      <x:c r="M389" s="16" t="str">
        <x:v>Mark only observable lifecycle actions or outputs. Reporting and audit requires explicit packaging, routing, disclosure, or audit transition; a report name alone is insufficient.</x:v>
      </x:c>
      <x:c r="N389" s="16" t="str">
        <x:v>candidate analysis;reporting and audit</x:v>
      </x:c>
      <x:c r="O389" s="16" t="str">
        <x:v>The cited source supports the selected label candidate analysis;reporting and audit; only observable workflow actions or outputs were retained.</x:v>
      </x:c>
      <x:c r="P389" s="16" t="str">
        <x:v>https://arxiv.org/pdf/2601.19239 | role p.1; action p.1; feedback p.1; validation p.2; evaluation p.1</x:v>
      </x:c>
      <x:c r="Q389" s="16" t="str">
        <x:v>no</x:v>
      </x:c>
      <x:c r="R389" s="11" t="str"/>
      <x:c r="S389" s="11" t="str">
        <x:v>2026-08-12</x:v>
      </x:c>
      <x:c r="T389" s="18" t="str">
        <x:f>IF(OR(AND(N389="unresolved",LEN(O389)&gt;0,LEN(P389)&gt;0,Q389="yes"),AND(LEN(N389)&gt;0,LEN(O389)&gt;0,LEN(P389)&gt;0,OR(Q389="yes",Q389="no"))),"ready","pending")</x:f>
        <x:v>ready</x:v>
      </x:c>
    </x:row>
    <x:row r="390" ht="44" customHeight="1">
      <x:c r="A390" s="10" t="str">
        <x:v>FMS0913__capability</x:v>
      </x:c>
      <x:c r="B390" s="11" t="str">
        <x:v>FMS0913</x:v>
      </x:c>
      <x:c r="C390" s="11" t="str">
        <x:v>final_multisource_132</x:v>
      </x:c>
      <x:c r="D390" s="11" t="str">
        <x:v>LLM-based Vulnerability Detection at Project Scale: An Empirical Study</x:v>
      </x:c>
      <x:c r="E390" s="11" t="str">
        <x:v>cross-stage capability</x:v>
      </x:c>
      <x:c r="F390" s="11" t="str">
        <x:v>multi-label</x:v>
      </x:c>
      <x:c r="G390" s="11" t="str">
        <x:v>context aggregation / rule extraction;feedback interpretation / loop adjustment;long-horizon state management;tool routing / strategy routing</x:v>
      </x:c>
      <x:c r="H390" s="11" t="str">
        <x:v>context aggregation / rule extraction;feedback interpretation / loop adjustment;long-horizon state management;tool routing / strategy routing;validation organization / evidence packaging</x:v>
      </x:c>
      <x:c r="I390" s="11" t="str">
        <x:v>source-linked lead</x:v>
      </x:c>
      <x:c r="J390" s="11" t="str">
        <x:v>https://arxiv.org/pdf/2601.19239 | role p.1; action p.1; feedback p.1; validation p.2; evaluation p.1</x:v>
      </x:c>
      <x:c r="K390" s="11" t="str">
        <x:v>real-world vulnerabilities (C/C++ and Java) to assess patterns inherently limits the generalization and coverage for detection capability, and 2) 24 active open-source projects, where previously unseen or evolving vulnerability types [13], [14]. we manually inspected 385 warnings to assess their practical Recent advances in Large Language Models (LLMs)</x:v>
      </x:c>
      <x:c r="L390" s="16" t="str">
        <x:v>A source-linked excerpt and locator are supplied as review leads for auditability.</x:v>
      </x:c>
      <x:c r="M390" s="16" t="str">
        <x:v>Require an explicit cross-stage connection. Information must guide later action; feedback must alter later action; packaging must assemble prior outputs; governance must enforce an actual gate.</x:v>
      </x:c>
      <x:c r="N390" s="16" t="str">
        <x:v>context aggregation / rule extraction;tool routing / strategy routing;feedback interpretation / loop adjustment;long-horizon state management</x:v>
      </x:c>
      <x:c r="O390" s="16" t="str">
        <x:v>The cited source supports the selected label context aggregation / rule extraction;tool routing / strategy routing;feedback interpretation / loop adjustment;long-horizon state management; each retained label requires an explicit connection that guides later action, feedback, packaging, or a gate.</x:v>
      </x:c>
      <x:c r="P390" s="16" t="str">
        <x:v>https://arxiv.org/pdf/2601.19239 | role p.1; action p.1; feedback p.1; validation p.2; evaluation p.1</x:v>
      </x:c>
      <x:c r="Q390" s="16" t="str">
        <x:v>no</x:v>
      </x:c>
      <x:c r="R390" s="11" t="str"/>
      <x:c r="S390" s="11" t="str">
        <x:v>2026-08-12</x:v>
      </x:c>
      <x:c r="T390" s="18" t="str">
        <x:f>IF(OR(AND(N390="unresolved",LEN(O390)&gt;0,LEN(P390)&gt;0,Q390="yes"),AND(LEN(N390)&gt;0,LEN(O390)&gt;0,LEN(P390)&gt;0,OR(Q390="yes",Q390="no"))),"ready","pending")</x:f>
        <x:v>ready</x:v>
      </x:c>
    </x:row>
    <x:row r="391" ht="44" customHeight="1">
      <x:c r="A391" s="10" t="str">
        <x:v>FMS0916__lifecycle</x:v>
      </x:c>
      <x:c r="B391" s="11" t="str">
        <x:v>FMS0916</x:v>
      </x:c>
      <x:c r="C391" s="11" t="str">
        <x:v>final_multisource_132</x:v>
      </x:c>
      <x:c r="D391" s="11" t="str">
        <x:v>LLM-Driven SAST-Genius: A Hybrid Static Analysis Framework for Comprehensive and Actionable Security</x:v>
      </x:c>
      <x:c r="E391" s="11" t="str">
        <x:v>lifecycle coverage</x:v>
      </x:c>
      <x:c r="F391" s="11" t="str">
        <x:v>multi-label</x:v>
      </x:c>
      <x:c r="G391" s="11" t="str">
        <x:v>candidate analysis;execution observation;reporting and audit;reproduction and validation</x:v>
      </x:c>
      <x:c r="H391" s="11" t="str">
        <x:v>candidate analysis;reporting and audit;reproduction and validation</x:v>
      </x:c>
      <x:c r="I391" s="11" t="str">
        <x:v>source-linked lead</x:v>
      </x:c>
      <x:c r="J391" s="11" t="str">
        <x:v>https://arxiv.org/pdf/2509.15433 | role p.1; action p.1; feedback p.2; validation p.1; evaluation p.1</x:v>
      </x:c>
      <x:c r="K391" s="11" t="str">
        <x:v>LLM-Driven SAST-Genius: A Hybrid Static Analysis Framework for Comprehensive and Actionable Security Vaibhav</x:v>
      </x:c>
      <x:c r="L391" s="16" t="str">
        <x:v>A source-linked excerpt and locator are supplied as review leads for auditability.</x:v>
      </x:c>
      <x:c r="M391" s="16" t="str">
        <x:v>Mark only observable lifecycle actions or outputs. Reporting and audit requires explicit packaging, routing, disclosure, or audit transition; a report name alone is insufficient.</x:v>
      </x:c>
      <x:c r="N391" s="16" t="str">
        <x:v>candidate analysis;execution observation;reproduction and validation;reporting and audit</x:v>
      </x:c>
      <x:c r="O391" s="16" t="str">
        <x:v>The cited source supports the selected label candidate analysis;execution observation;reproduction and validation;reporting and audit; only observable workflow actions or outputs were retained.</x:v>
      </x:c>
      <x:c r="P391" s="16" t="str">
        <x:v>https://arxiv.org/pdf/2509.15433 | role p.1; action p.1; feedback p.2; validation p.1; evaluation p.1</x:v>
      </x:c>
      <x:c r="Q391" s="16" t="str">
        <x:v>no</x:v>
      </x:c>
      <x:c r="R391" s="11" t="str"/>
      <x:c r="S391" s="11" t="str">
        <x:v>2026-08-12</x:v>
      </x:c>
      <x:c r="T391" s="18" t="str">
        <x:f>IF(OR(AND(N391="unresolved",LEN(O391)&gt;0,LEN(P391)&gt;0,Q391="yes"),AND(LEN(N391)&gt;0,LEN(O391)&gt;0,LEN(P391)&gt;0,OR(Q391="yes",Q391="no"))),"ready","pending")</x:f>
        <x:v>ready</x:v>
      </x:c>
    </x:row>
    <x:row r="392" ht="44" customHeight="1">
      <x:c r="A392" s="10" t="str">
        <x:v>FMS0916__capability</x:v>
      </x:c>
      <x:c r="B392" s="11" t="str">
        <x:v>FMS0916</x:v>
      </x:c>
      <x:c r="C392" s="11" t="str">
        <x:v>final_multisource_132</x:v>
      </x:c>
      <x:c r="D392" s="11" t="str">
        <x:v>LLM-Driven SAST-Genius: A Hybrid Static Analysis Framework for Comprehensive and Actionable Security</x:v>
      </x:c>
      <x:c r="E392" s="11" t="str">
        <x:v>cross-stage capability</x:v>
      </x:c>
      <x:c r="F392" s="11" t="str">
        <x:v>multi-label</x:v>
      </x:c>
      <x:c r="G392" s="11" t="str">
        <x:v>context aggregation / rule extraction;feedback interpretation / loop adjustment;tool routing / strategy routing;validation organization / evidence packaging</x:v>
      </x:c>
      <x:c r="H392" s="11" t="str">
        <x:v>context aggregation / rule extraction;tool routing / strategy routing;validation organization / evidence packaging</x:v>
      </x:c>
      <x:c r="I392" s="11" t="str">
        <x:v>source-linked lead</x:v>
      </x:c>
      <x:c r="J392" s="11" t="str">
        <x:v>https://arxiv.org/pdf/2509.15433 | role p.1; action p.1; feedback p.2; validation p.1; evaluation p.1</x:v>
      </x:c>
      <x:c r="K392" s="11" t="str">
        <x:v>ces the time and specialized expertise required to confirm a vulnerability's existence and impact. This accelerates the feedback loop for developers, enabling quicker patch development and more robust regression testing. D. Dynamic Bug Description and Remediation Suggestions While SAST identifies issues, the descriptions of the vulnerabilities and its remediation are usually hardcoded, and often lack the context necessary for immediate developer action. Leveraging their natural</x:v>
      </x:c>
      <x:c r="L392" s="16" t="str">
        <x:v>A source-linked excerpt and locator are supplied as review leads for auditability.</x:v>
      </x:c>
      <x:c r="M392" s="16" t="str">
        <x:v>Require an explicit cross-stage connection. Information must guide later action; feedback must alter later action; packaging must assemble prior outputs; governance must enforce an actual gate.</x:v>
      </x:c>
      <x:c r="N392" s="16" t="str">
        <x:v>context aggregation / rule extraction;tool routing / strategy routing;feedback interpretation / loop adjustment;validation organization / evidence packaging</x:v>
      </x:c>
      <x:c r="O392" s="16" t="str">
        <x:v>The cited source supports the selected label context aggregation / rule extraction;tool routing / strategy routing;feedback interpretation / loop adjustment;validation organization / evidence packaging; each retained label requires an explicit connection that guides later action, feedback, packaging, or a gate.</x:v>
      </x:c>
      <x:c r="P392" s="16" t="str">
        <x:v>https://arxiv.org/pdf/2509.15433 | role p.1; action p.1; feedback p.2; validation p.1; evaluation p.1</x:v>
      </x:c>
      <x:c r="Q392" s="16" t="str">
        <x:v>no</x:v>
      </x:c>
      <x:c r="R392" s="11" t="str"/>
      <x:c r="S392" s="11" t="str">
        <x:v>2026-08-12</x:v>
      </x:c>
      <x:c r="T392" s="18" t="str">
        <x:f>IF(OR(AND(N392="unresolved",LEN(O392)&gt;0,LEN(P392)&gt;0,Q392="yes"),AND(LEN(N392)&gt;0,LEN(O392)&gt;0,LEN(P392)&gt;0,OR(Q392="yes",Q392="no"))),"ready","pending")</x:f>
        <x:v>ready</x:v>
      </x:c>
    </x:row>
    <x:row r="393" ht="44" customHeight="1">
      <x:c r="A393" s="10" t="str">
        <x:v>FMS0916__primary_shape</x:v>
      </x:c>
      <x:c r="B393" s="11" t="str">
        <x:v>FMS0916</x:v>
      </x:c>
      <x:c r="C393" s="11" t="str">
        <x:v>final_multisource_132</x:v>
      </x:c>
      <x:c r="D393" s="11" t="str">
        <x:v>LLM-Driven SAST-Genius: A Hybrid Static Analysis Framework for Comprehensive and Actionable Security</x:v>
      </x:c>
      <x:c r="E393" s="11" t="str">
        <x:v>primary system shape</x:v>
      </x:c>
      <x:c r="F393" s="11" t="str">
        <x:v>single-label</x:v>
      </x:c>
      <x:c r="G393" s="11" t="str">
        <x:v>reproduction-, validation-, and repair-centered agent</x:v>
      </x:c>
      <x:c r="H393" s="11" t="str">
        <x:v>candidate-analysis system</x:v>
      </x:c>
      <x:c r="I393" s="11" t="str">
        <x:v>source-linked lead</x:v>
      </x:c>
      <x:c r="J393" s="11" t="str">
        <x:v>https://arxiv.org/pdf/2509.15433 | role p.1; action p.1; feedback p.2; validation p.1; evaluation p.1</x:v>
      </x:c>
      <x:c r="K393" s="11" t="str">
        <x:v>LLM-Driven SAST-Genius: A Hybrid Static Analysis Framework for Comprehensive and Actionable Security Vaibhav Agrawal1, Google, Mountain View, CA, USA Kiarash Ahi2, Virelya Intelligence Research Labs, San Francisco Bay Area, CA, USA Abstract — This report examines the synergy between Large</x:v>
      </x:c>
      <x:c r="L393" s="16" t="str">
        <x:v>A source-linked excerpt and locator are supplied as review leads for auditability.</x:v>
      </x:c>
      <x:c r="M393" s="16" t="str">
        <x:v>Choose the dominant locus and objective of agent control in the main evaluated contribution. Use the evaluation task and primary metrics to resolve ties; do not infer from agent count or system name.</x:v>
      </x:c>
      <x:c r="N393" s="16" t="str">
        <x:v>reproduction-, validation-, and repair-centered agent</x:v>
      </x:c>
      <x:c r="O393" s="16" t="str">
        <x:v>The cited source supports the selected label reproduction-, validation-, and repair-centered agent as the dominant evaluated locus and objective of agent control.</x:v>
      </x:c>
      <x:c r="P393" s="16" t="str">
        <x:v>https://arxiv.org/pdf/2509.15433 | role p.1; action p.1; feedback p.2; validation p.1; evaluation p.1</x:v>
      </x:c>
      <x:c r="Q393" s="16" t="str">
        <x:v>no</x:v>
      </x:c>
      <x:c r="R393" s="11" t="str"/>
      <x:c r="S393" s="11" t="str">
        <x:v>2026-08-12</x:v>
      </x:c>
      <x:c r="T393" s="18" t="str">
        <x:f>IF(OR(AND(N393="unresolved",LEN(O393)&gt;0,LEN(P393)&gt;0,Q393="yes"),AND(LEN(N393)&gt;0,LEN(O393)&gt;0,LEN(P393)&gt;0,OR(Q393="yes",Q393="no"))),"ready","pending")</x:f>
        <x:v>ready</x:v>
      </x:c>
    </x:row>
    <x:row r="394" ht="44" customHeight="1">
      <x:c r="A394" s="10" t="str">
        <x:v>FMS0916__principal_evidence</x:v>
      </x:c>
      <x:c r="B394" s="11" t="str">
        <x:v>FMS0916</x:v>
      </x:c>
      <x:c r="C394" s="11" t="str">
        <x:v>final_multisource_132</x:v>
      </x:c>
      <x:c r="D394" s="11" t="str">
        <x:v>LLM-Driven SAST-Genius: A Hybrid Static Analysis Framework for Comprehensive and Actionable Security</x:v>
      </x:c>
      <x:c r="E394" s="11" t="str">
        <x:v>principal reported evidence output</x:v>
      </x:c>
      <x:c r="F394" s="11" t="str">
        <x:v>single-label</x:v>
      </x:c>
      <x:c r="G394" s="11" t="str">
        <x:v>reproducible validation</x:v>
      </x:c>
      <x:c r="H394" s="11" t="str">
        <x:v>candidate judgment</x:v>
      </x:c>
      <x:c r="I394" s="11" t="str">
        <x:v>source-linked lead</x:v>
      </x:c>
      <x:c r="J394" s="11" t="str">
        <x:v>https://arxiv.org/pdf/2509.15433 | role p.1; action p.1; feedback p.2; validation p.1; evaluation p.1</x:v>
      </x:c>
      <x:c r="K394" s="11" t="str">
        <x:v>dels (LLMs) and Static Application Security Testing Semgrep with a fine-tuned LLM for triage, exploit validation, and (SAST) to improve vulnerability discovery. Traditional SAST tools, remediation. while effective for proactive security, are limited by high false-positive • A large-scale evaluation across 25 GitHub projects (~250K rates and a lack of contextual understanding. Conversely, LLMs excel LOC), showing a 89.5% precision</x:v>
      </x:c>
      <x:c r="L394" s="16" t="str">
        <x:v>A source-linked excerpt and locator are supplied as review leads for auditability.</x:v>
      </x:c>
      <x:c r="M394" s="16" t="str">
        <x:v>Select the observable result most directly supporting the main finding. Benchmark ground truth or aggregate CVE counts do not automatically establish externally traceable material.</x:v>
      </x:c>
      <x:c r="N394" s="16" t="str">
        <x:v>reproducible validation</x:v>
      </x:c>
      <x:c r="O394" s="16" t="str">
        <x:v>The cited source supports the selected label reproducible validation as the main observable result reported for the study.</x:v>
      </x:c>
      <x:c r="P394" s="16" t="str">
        <x:v>https://arxiv.org/pdf/2509.15433 | role p.1; action p.1; feedback p.2; validation p.1; evaluation p.1</x:v>
      </x:c>
      <x:c r="Q394" s="16" t="str">
        <x:v>no</x:v>
      </x:c>
      <x:c r="R394" s="11" t="str"/>
      <x:c r="S394" s="11" t="str">
        <x:v>2026-08-12</x:v>
      </x:c>
      <x:c r="T394" s="18" t="str">
        <x:f>IF(OR(AND(N394="unresolved",LEN(O394)&gt;0,LEN(P394)&gt;0,Q394="yes"),AND(LEN(N394)&gt;0,LEN(O394)&gt;0,LEN(P394)&gt;0,OR(Q394="yes",Q394="no"))),"ready","pending")</x:f>
        <x:v>ready</x:v>
      </x:c>
    </x:row>
    <x:row r="395" ht="44" customHeight="1">
      <x:c r="A395" s="10" t="str">
        <x:v>FMS1041__lifecycle</x:v>
      </x:c>
      <x:c r="B395" s="11" t="str">
        <x:v>FMS1041</x:v>
      </x:c>
      <x:c r="C395" s="11" t="str">
        <x:v>final_multisource_132</x:v>
      </x:c>
      <x:c r="D395" s="11" t="str">
        <x:v>Okara: Detection and Attribution of TLS Man-in-the-Middle Vulnerabilities in Android Apps with Foundation Models</x:v>
      </x:c>
      <x:c r="E395" s="11" t="str">
        <x:v>lifecycle coverage</x:v>
      </x:c>
      <x:c r="F395" s="11" t="str">
        <x:v>multi-label</x:v>
      </x:c>
      <x:c r="G395" s="11" t="str">
        <x:v>execution observation;path and input exploration;reproduction and validation</x:v>
      </x:c>
      <x:c r="H395" s="11" t="str">
        <x:v>candidate analysis;execution observation;path and input exploration;reporting and audit;reproduction and validation</x:v>
      </x:c>
      <x:c r="I395" s="11" t="str">
        <x:v>source-linked lead</x:v>
      </x:c>
      <x:c r="J395" s="11" t="str">
        <x:v>https://arxiv.org/pdf/2601.22770 | role p.3; action p.1; feedback p.1; validation p.1; evaluation p.2</x:v>
      </x:c>
      <x:c r="K395" s="11" t="str">
        <x:v>process is time-consuming, with the original study [10] The nature of observations (oi ) varies across GUI agents. reporting an average analysis time of 3 to 12 minutes per Observations can consist of pure visual elements, such as app. Similarly,</x:v>
      </x:c>
      <x:c r="L395" s="16" t="str">
        <x:v>A source-linked excerpt and locator are supplied as review leads for auditability.</x:v>
      </x:c>
      <x:c r="M395" s="16" t="str">
        <x:v>Mark only observable lifecycle actions or outputs. Reporting and audit requires explicit packaging, routing, disclosure, or audit transition; a report name alone is insufficient.</x:v>
      </x:c>
      <x:c r="N395" s="16" t="str">
        <x:v>path and input exploration;execution observation;reproduction and validation</x:v>
      </x:c>
      <x:c r="O395" s="16" t="str">
        <x:v>The cited source supports the selected label path and input exploration;execution observation;reproduction and validation; only observable workflow actions or outputs were retained.</x:v>
      </x:c>
      <x:c r="P395" s="16" t="str">
        <x:v>https://arxiv.org/pdf/2601.22770 | role p.3; action p.1; feedback p.1; validation p.1; evaluation p.2</x:v>
      </x:c>
      <x:c r="Q395" s="16" t="str">
        <x:v>no</x:v>
      </x:c>
      <x:c r="R395" s="11" t="str"/>
      <x:c r="S395" s="11" t="str">
        <x:v>2026-08-12</x:v>
      </x:c>
      <x:c r="T395" s="18" t="str">
        <x:f>IF(OR(AND(N395="unresolved",LEN(O395)&gt;0,LEN(P395)&gt;0,Q395="yes"),AND(LEN(N395)&gt;0,LEN(O395)&gt;0,LEN(P395)&gt;0,OR(Q395="yes",Q395="no"))),"ready","pending")</x:f>
        <x:v>ready</x:v>
      </x:c>
    </x:row>
    <x:row r="396" ht="44" customHeight="1">
      <x:c r="A396" s="10" t="str">
        <x:v>FMS1041__capability</x:v>
      </x:c>
      <x:c r="B396" s="11" t="str">
        <x:v>FMS1041</x:v>
      </x:c>
      <x:c r="C396" s="11" t="str">
        <x:v>final_multisource_132</x:v>
      </x:c>
      <x:c r="D396" s="11" t="str">
        <x:v>Okara: Detection and Attribution of TLS Man-in-the-Middle Vulnerabilities in Android Apps with Foundation Models</x:v>
      </x:c>
      <x:c r="E396" s="11" t="str">
        <x:v>cross-stage capability</x:v>
      </x:c>
      <x:c r="F396" s="11" t="str">
        <x:v>multi-label</x:v>
      </x:c>
      <x:c r="G396" s="11" t="str">
        <x:v>feedback interpretation / loop adjustment;long-horizon state management;tool routing / strategy routing;validation organization / evidence packaging</x:v>
      </x:c>
      <x:c r="H396" s="11" t="str">
        <x:v>context aggregation / rule extraction;feedback interpretation / loop adjustment;governance / human gates / disclosure control;long-horizon state management;tool routing / strategy routing;validation organization / evidence packaging</x:v>
      </x:c>
      <x:c r="I396" s="11" t="str">
        <x:v>source-linked lead</x:v>
      </x:c>
      <x:c r="J396" s="11" t="str">
        <x:v>https://arxiv.org/pdf/2601.22770 | role p.3; action p.1; feedback p.1; validation p.1; evaluation p.2</x:v>
      </x:c>
      <x:c r="K396" s="11" t="str">
        <x:v>rge-scale study. Existing tools [2], [3], [9], [10], tools are hampered by low-coverage UI interaction, costly [14] face several critical limitations: (1) Ineffectiveness and instrumentation, and a lack of scalable root-cause analysis. Obsolescence: Many proposed tools are either closed-source We present Okara, a framework that leve</x:v>
      </x:c>
      <x:c r="L396" s="16" t="str">
        <x:v>A source-linked excerpt and locator are supplied as review leads for auditability.</x:v>
      </x:c>
      <x:c r="M396" s="16" t="str">
        <x:v>Require an explicit cross-stage connection. Information must guide later action; feedback must alter later action; packaging must assemble prior outputs; governance must enforce an actual gate.</x:v>
      </x:c>
      <x:c r="N396" s="16" t="str">
        <x:v>tool routing / strategy routing;feedback interpretation / loop adjustment;validation organization / evidence packaging;long-horizon state management</x:v>
      </x:c>
      <x:c r="O396" s="16" t="str">
        <x:v>The cited source supports the selected label tool routing / strategy routing;feedback interpretation / loop adjustment;validation organization / evidence packaging;long-horizon state management; each retained label requires an explicit connection that guides later action, feedback, packaging, or a gate.</x:v>
      </x:c>
      <x:c r="P396" s="16" t="str">
        <x:v>https://arxiv.org/pdf/2601.22770 | role p.3; action p.1; feedback p.1; validation p.1; evaluation p.2</x:v>
      </x:c>
      <x:c r="Q396" s="16" t="str">
        <x:v>no</x:v>
      </x:c>
      <x:c r="R396" s="11" t="str"/>
      <x:c r="S396" s="11" t="str">
        <x:v>2026-08-12</x:v>
      </x:c>
      <x:c r="T396" s="18" t="str">
        <x:f>IF(OR(AND(N396="unresolved",LEN(O396)&gt;0,LEN(P396)&gt;0,Q396="yes"),AND(LEN(N396)&gt;0,LEN(O396)&gt;0,LEN(P396)&gt;0,OR(Q396="yes",Q396="no"))),"ready","pending")</x:f>
        <x:v>ready</x:v>
      </x:c>
    </x:row>
    <x:row r="397" ht="44" customHeight="1">
      <x:c r="A397" s="10" t="str">
        <x:v>FMS1041__primary_shape</x:v>
      </x:c>
      <x:c r="B397" s="11" t="str">
        <x:v>FMS1041</x:v>
      </x:c>
      <x:c r="C397" s="11" t="str">
        <x:v>final_multisource_132</x:v>
      </x:c>
      <x:c r="D397" s="11" t="str">
        <x:v>Okara: Detection and Attribution of TLS Man-in-the-Middle Vulnerabilities in Android Apps with Foundation Models</x:v>
      </x:c>
      <x:c r="E397" s="11" t="str">
        <x:v>primary system shape</x:v>
      </x:c>
      <x:c r="F397" s="11" t="str">
        <x:v>single-label</x:v>
      </x:c>
      <x:c r="G397" s="11" t="str">
        <x:v>feedback-driven fuzzing agent</x:v>
      </x:c>
      <x:c r="H397" s="11" t="str">
        <x:v>candidate-analysis system</x:v>
      </x:c>
      <x:c r="I397" s="11" t="str">
        <x:v>source-linked lead</x:v>
      </x:c>
      <x:c r="J397" s="11" t="str">
        <x:v>https://arxiv.org/pdf/2601.22770 | role p.3; action p.1; feedback p.1; validation p.1; evaluation p.2</x:v>
      </x:c>
      <x:c r="K397" s="11" t="str">
        <x:v>Abstract—Transport Layer Security (TLS) is fundamental to Addressing this threat requires tools capable of large- secure online communication, yet vulnerabilities in certificate scale detection and in-depth analysis. However, the cur- validation that enable Man-in-the-Middle (MitM) attacks re- rent landscape of TMV detection</x:v>
      </x:c>
      <x:c r="L397" s="16" t="str">
        <x:v>A source-linked excerpt and locator are supplied as review leads for auditability.</x:v>
      </x:c>
      <x:c r="M397" s="16" t="str">
        <x:v>Choose the dominant locus and objective of agent control in the main evaluated contribution. Use the evaluation task and primary metrics to resolve ties; do not infer from agent count or system name.</x:v>
      </x:c>
      <x:c r="N397" s="16" t="str">
        <x:v>feedback-driven fuzzing agent</x:v>
      </x:c>
      <x:c r="O397" s="16" t="str">
        <x:v>The cited source supports the selected label feedback-driven fuzzing agent as the dominant evaluated locus and objective of agent control.</x:v>
      </x:c>
      <x:c r="P397" s="16" t="str">
        <x:v>https://arxiv.org/pdf/2601.22770 | role p.3; action p.1; feedback p.1; validation p.1; evaluation p.2</x:v>
      </x:c>
      <x:c r="Q397" s="16" t="str">
        <x:v>no</x:v>
      </x:c>
      <x:c r="R397" s="11" t="str"/>
      <x:c r="S397" s="11" t="str">
        <x:v>2026-08-12</x:v>
      </x:c>
      <x:c r="T397" s="18" t="str">
        <x:f>IF(OR(AND(N397="unresolved",LEN(O397)&gt;0,LEN(P397)&gt;0,Q397="yes"),AND(LEN(N397)&gt;0,LEN(O397)&gt;0,LEN(P397)&gt;0,OR(Q397="yes",Q397="no"))),"ready","pending")</x:f>
        <x:v>ready</x:v>
      </x:c>
    </x:row>
    <x:row r="398" ht="44" customHeight="1">
      <x:c r="A398" s="10" t="str">
        <x:v>FMS1041__principal_evidence</x:v>
      </x:c>
      <x:c r="B398" s="11" t="str">
        <x:v>FMS1041</x:v>
      </x:c>
      <x:c r="C398" s="11" t="str">
        <x:v>final_multisource_132</x:v>
      </x:c>
      <x:c r="D398" s="11" t="str">
        <x:v>Okara: Detection and Attribution of TLS Man-in-the-Middle Vulnerabilities in Android Apps with Foundation Models</x:v>
      </x:c>
      <x:c r="E398" s="11" t="str">
        <x:v>principal reported evidence output</x:v>
      </x:c>
      <x:c r="F398" s="11" t="str">
        <x:v>single-label</x:v>
      </x:c>
      <x:c r="G398" s="11" t="str">
        <x:v>runtime safety signal</x:v>
      </x:c>
      <x:c r="H398" s="11" t="str">
        <x:v>reproducible validation</x:v>
      </x:c>
      <x:c r="I398" s="11" t="str">
        <x:v>source-linked lead</x:v>
      </x:c>
      <x:c r="J398" s="11" t="str">
        <x:v>https://arxiv.org/pdf/2601.22770 | role p.3; action p.1; feedback p.1; validation p.1; evaluation p.2</x:v>
      </x:c>
      <x:c r="K398" s="11" t="str">
        <x:v>ertificate scale detection and in-depth analysis. However, the cur- validation that enable Man-in-the-Middle (MitM) attacks re- rent landscape of TMV detection tools is inadequate for a main a pervasive threat in Android apps. Existing detection modern, large-scale study. Existing tools [2], [3], [9], [10], tools are hamp</x:v>
      </x:c>
      <x:c r="L398" s="16" t="str">
        <x:v>A source-linked excerpt and locator are supplied as review leads for auditability.</x:v>
      </x:c>
      <x:c r="M398" s="16" t="str">
        <x:v>Select the observable result most directly supporting the main finding. Benchmark ground truth or aggregate CVE counts do not automatically establish externally traceable material.</x:v>
      </x:c>
      <x:c r="N398" s="16" t="str">
        <x:v>runtime safety signal</x:v>
      </x:c>
      <x:c r="O398" s="16" t="str">
        <x:v>The cited source supports the selected label runtime safety signal as the main observable result reported for the study.</x:v>
      </x:c>
      <x:c r="P398" s="16" t="str">
        <x:v>https://arxiv.org/pdf/2601.22770 | role p.3; action p.1; feedback p.1; validation p.1; evaluation p.2</x:v>
      </x:c>
      <x:c r="Q398" s="16" t="str">
        <x:v>no</x:v>
      </x:c>
      <x:c r="R398" s="11" t="str"/>
      <x:c r="S398" s="11" t="str">
        <x:v>2026-08-12</x:v>
      </x:c>
      <x:c r="T398" s="18" t="str">
        <x:f>IF(OR(AND(N398="unresolved",LEN(O398)&gt;0,LEN(P398)&gt;0,Q398="yes"),AND(LEN(N398)&gt;0,LEN(O398)&gt;0,LEN(P398)&gt;0,OR(Q398="yes",Q398="no"))),"ready","pending")</x:f>
        <x:v>ready</x:v>
      </x:c>
    </x:row>
    <x:row r="399" ht="44" customHeight="1">
      <x:c r="A399" s="10" t="str">
        <x:v>FMS1041__external_traceability</x:v>
      </x:c>
      <x:c r="B399" s="11" t="str">
        <x:v>FMS1041</x:v>
      </x:c>
      <x:c r="C399" s="11" t="str">
        <x:v>final_multisource_132</x:v>
      </x:c>
      <x:c r="D399" s="11" t="str">
        <x:v>Okara: Detection and Attribution of TLS Man-in-the-Middle Vulnerabilities in Android Apps with Foundation Models</x:v>
      </x:c>
      <x:c r="E399" s="11" t="str">
        <x:v>external traceability</x:v>
      </x:c>
      <x:c r="F399" s="11" t="str">
        <x:v>single-label</x:v>
      </x:c>
      <x:c r="G399" s="11" t="str">
        <x:v>benchmark ground truth / public material</x:v>
      </x:c>
      <x:c r="H399" s="11" t="str">
        <x:v>author-reported external clue</x:v>
      </x:c>
      <x:c r="I399" s="11" t="str">
        <x:v>source-linked lead</x:v>
      </x:c>
      <x:c r="J399" s="11" t="str">
        <x:v>https://arxiv.org/pdf/2601.22770 | role p.3; action p.1; feedback p.1; validation p.1; evaluation p.2</x:v>
      </x:c>
      <x:c r="K399" s="11" t="str">
        <x:v>attributes vulnerabilities to either app developers or third- related work. Section 3 details the design and evaluation party libraries, providing crucial data for targeted disclosure of TMV-Hunter. Section 4 presents our large-scale mea- and quantifying the significant role of third-party code in surement study of detected TMVs. Section 5 describes propagating these security flaws. TMV-ORCA and our root cause analysis. Section 6 outl</x:v>
      </x:c>
      <x:c r="L399" s="16" t="str">
        <x:v>A source-linked excerpt and locator are supplied as review leads for auditability.</x:v>
      </x:c>
      <x:c r="M399" s="16" t="str">
        <x:v>Code separately from principal output. Only item-level alignment between a concrete system result and a specific public external record qualifies as publicly aligned external trace.</x:v>
      </x:c>
      <x:c r="N399" s="16" t="str">
        <x:v>benchmark ground truth / public material</x:v>
      </x:c>
      <x:c r="O399" s="16" t="str">
        <x:v>The cited source supports the selected label benchmark ground truth / public material under the codebook's item-level public-record alignment criterion.</x:v>
      </x:c>
      <x:c r="P399" s="16" t="str">
        <x:v>https://arxiv.org/pdf/2601.22770 | role p.3; action p.1; feedback p.1; validation p.1; evaluation p.2</x:v>
      </x:c>
      <x:c r="Q399" s="16" t="str">
        <x:v>no</x:v>
      </x:c>
      <x:c r="R399" s="11" t="str"/>
      <x:c r="S399" s="11" t="str">
        <x:v>2026-08-12</x:v>
      </x:c>
      <x:c r="T399" s="18" t="str">
        <x:f>IF(OR(AND(N399="unresolved",LEN(O399)&gt;0,LEN(P399)&gt;0,Q399="yes"),AND(LEN(N399)&gt;0,LEN(O399)&gt;0,LEN(P399)&gt;0,OR(Q399="yes",Q399="no"))),"ready","pending")</x:f>
        <x:v>ready</x:v>
      </x:c>
    </x:row>
    <x:row r="400" ht="44" customHeight="1">
      <x:c r="A400" s="10" t="str">
        <x:v>FMS1076__lifecycle</x:v>
      </x:c>
      <x:c r="B400" s="11" t="str">
        <x:v>FMS1076</x:v>
      </x:c>
      <x:c r="C400" s="11" t="str">
        <x:v>final_multisource_132</x:v>
      </x:c>
      <x:c r="D400" s="11" t="str">
        <x:v>PATCHEVAL: A New Benchmark for Evaluating LLMs on Patching Real-World Vulnerabilities</x:v>
      </x:c>
      <x:c r="E400" s="11" t="str">
        <x:v>lifecycle coverage</x:v>
      </x:c>
      <x:c r="F400" s="11" t="str">
        <x:v>multi-label</x:v>
      </x:c>
      <x:c r="G400" s="11" t="str">
        <x:v>execution observation;patch validation</x:v>
      </x:c>
      <x:c r="H400" s="11" t="str">
        <x:v>candidate analysis;execution observation;patch validation;path and input exploration;reproduction and validation</x:v>
      </x:c>
      <x:c r="I400" s="11" t="str">
        <x:v>source-linked lead</x:v>
      </x:c>
      <x:c r="J400" s="11" t="str">
        <x:v>https://arxiv.org/pdf/2511.11019 | role p.1; action p.1; feedback p.1; validation p.1; evaluation p.1</x:v>
      </x:c>
      <x:c r="K400" s="11" t="str">
        <x:v>tasks [29]. When equipped with external tools, agentic LLMs agents, presenting an in-depth analysis that empirically yields</x:v>
      </x:c>
      <x:c r="L400" s="16" t="str">
        <x:v>A source-linked excerpt and locator are supplied as review leads for auditability.</x:v>
      </x:c>
      <x:c r="M400" s="16" t="str">
        <x:v>Mark only observable lifecycle actions or outputs. Reporting and audit requires explicit packaging, routing, disclosure, or audit transition; a report name alone is insufficient.</x:v>
      </x:c>
      <x:c r="N400" s="16" t="str">
        <x:v>execution observation;patch validation</x:v>
      </x:c>
      <x:c r="O400" s="16" t="str">
        <x:v>The cited source supports the selected label execution observation;patch validation; only observable workflow actions or outputs were retained.</x:v>
      </x:c>
      <x:c r="P400" s="16" t="str">
        <x:v>https://arxiv.org/pdf/2511.11019 | role p.1; action p.1; feedback p.1; validation p.1; evaluation p.1</x:v>
      </x:c>
      <x:c r="Q400" s="16" t="str">
        <x:v>no</x:v>
      </x:c>
      <x:c r="R400" s="11" t="str"/>
      <x:c r="S400" s="11" t="str">
        <x:v>2026-08-12</x:v>
      </x:c>
      <x:c r="T400" s="18" t="str">
        <x:f>IF(OR(AND(N400="unresolved",LEN(O400)&gt;0,LEN(P400)&gt;0,Q400="yes"),AND(LEN(N400)&gt;0,LEN(O400)&gt;0,LEN(P400)&gt;0,OR(Q400="yes",Q400="no"))),"ready","pending")</x:f>
        <x:v>ready</x:v>
      </x:c>
    </x:row>
    <x:row r="401" ht="44" customHeight="1">
      <x:c r="A401" s="10" t="str">
        <x:v>FMS1076__capability</x:v>
      </x:c>
      <x:c r="B401" s="11" t="str">
        <x:v>FMS1076</x:v>
      </x:c>
      <x:c r="C401" s="11" t="str">
        <x:v>final_multisource_132</x:v>
      </x:c>
      <x:c r="D401" s="11" t="str">
        <x:v>PATCHEVAL: A New Benchmark for Evaluating LLMs on Patching Real-World Vulnerabilities</x:v>
      </x:c>
      <x:c r="E401" s="11" t="str">
        <x:v>cross-stage capability</x:v>
      </x:c>
      <x:c r="F401" s="11" t="str">
        <x:v>multi-label</x:v>
      </x:c>
      <x:c r="G401" s="11" t="str">
        <x:v>feedback interpretation / loop adjustment;long-horizon state management;tool routing / strategy routing;validation organization / evidence packaging</x:v>
      </x:c>
      <x:c r="H401" s="11" t="str">
        <x:v>context aggregation / rule extraction;feedback interpretation / loop adjustment;long-horizon state management;tool routing / strategy routing;validation organization / evidence packaging</x:v>
      </x:c>
      <x:c r="I401" s="11" t="str">
        <x:v>source-linked lead</x:v>
      </x:c>
      <x:c r="J401" s="11" t="str">
        <x:v>https://arxiv.org/pdf/2511.11019 | role p.1; action p.1; feedback p.1; validation p.1; evaluation p.1</x:v>
      </x:c>
      <x:c r="K401" s="11" t="str">
        <x:v>high latency has long motivated research into automated ties, limited language coverage, unreliable patch validation, vulnerability repair (AVR). and insufficient reproducibility. Early AVR approaches, ranging from template-based meth-</x:v>
      </x:c>
      <x:c r="L401" s="16" t="str">
        <x:v>A source-linked excerpt and locator are supplied as review leads for auditability.</x:v>
      </x:c>
      <x:c r="M401" s="16" t="str">
        <x:v>Require an explicit cross-stage connection. Information must guide later action; feedback must alter later action; packaging must assemble prior outputs; governance must enforce an actual gate.</x:v>
      </x:c>
      <x:c r="N401" s="16" t="str">
        <x:v>tool routing / strategy routing;feedback interpretation / loop adjustment;validation organization / evidence packaging;long-horizon state management</x:v>
      </x:c>
      <x:c r="O401" s="16" t="str">
        <x:v>The cited source supports the selected label tool routing / strategy routing;feedback interpretation / loop adjustment;validation organization / evidence packaging;long-horizon state management; each retained label requires an explicit connection that guides later action, feedback, packaging, or a gate.</x:v>
      </x:c>
      <x:c r="P401" s="16" t="str">
        <x:v>https://arxiv.org/pdf/2511.11019 | role p.1; action p.1; feedback p.1; validation p.1; evaluation p.1</x:v>
      </x:c>
      <x:c r="Q401" s="16" t="str">
        <x:v>no</x:v>
      </x:c>
      <x:c r="R401" s="11" t="str"/>
      <x:c r="S401" s="11" t="str">
        <x:v>2026-08-12</x:v>
      </x:c>
      <x:c r="T401" s="18" t="str">
        <x:f>IF(OR(AND(N401="unresolved",LEN(O401)&gt;0,LEN(P401)&gt;0,Q401="yes"),AND(LEN(N401)&gt;0,LEN(O401)&gt;0,LEN(P401)&gt;0,OR(Q401="yes",Q401="no"))),"ready","pending")</x:f>
        <x:v>ready</x:v>
      </x:c>
    </x:row>
    <x:row r="402" ht="44" customHeight="1">
      <x:c r="A402" s="10" t="str">
        <x:v>FMS1081__lifecycle</x:v>
      </x:c>
      <x:c r="B402" s="11" t="str">
        <x:v>FMS1081</x:v>
      </x:c>
      <x:c r="C402" s="11" t="str">
        <x:v>final_multisource_132</x:v>
      </x:c>
      <x:c r="D402" s="11" t="str">
        <x:v>Pen-Strategist: A Reasoning Framework for Penetration Testing Strategy Formation and Analysis</x:v>
      </x:c>
      <x:c r="E402" s="11" t="str">
        <x:v>lifecycle coverage</x:v>
      </x:c>
      <x:c r="F402" s="11" t="str">
        <x:v>multi-label</x:v>
      </x:c>
      <x:c r="G402" s="11" t="str">
        <x:v>candidate analysis;execution observation;path and input exploration;reporting and audit</x:v>
      </x:c>
      <x:c r="H402" s="11" t="str">
        <x:v>candidate analysis;execution observation;path and input exploration</x:v>
      </x:c>
      <x:c r="I402" s="11" t="str">
        <x:v>source-linked lead</x:v>
      </x:c>
      <x:c r="J402" s="11" t="str">
        <x:v>https://arxiv.org/pdf/2605.04499 | role p.2; action p.1; feedback p.1; validation p.4; evaluation p.1</x:v>
      </x:c>
      <x:c r="K402" s="11" t="str">
        <x:v>privacy. Furthermore, We provide our dataset and code in our GitHub repository.1 they can be integrated with agentic frameworks such as Pentest- GPT [12] for automated pentesting to achieve better results. First, 2 Related Work we construct a novel reasoning-centric dataset tailored for pen- etration testing, comprising structured inputs along with logical 2.1 Aut</x:v>
      </x:c>
      <x:c r="L402" s="16" t="str">
        <x:v>A source-linked excerpt and locator are supplied as review leads for auditability.</x:v>
      </x:c>
      <x:c r="M402" s="16" t="str">
        <x:v>Mark only observable lifecycle actions or outputs. Reporting and audit requires explicit packaging, routing, disclosure, or audit transition; a report name alone is insufficient.</x:v>
      </x:c>
      <x:c r="N402" s="16" t="str">
        <x:v>candidate analysis;path and input exploration;execution observation;reporting and audit</x:v>
      </x:c>
      <x:c r="O402" s="16" t="str">
        <x:v>The cited source supports the selected label candidate analysis;path and input exploration;execution observation;reporting and audit; only observable workflow actions or outputs were retained.</x:v>
      </x:c>
      <x:c r="P402" s="16" t="str">
        <x:v>https://arxiv.org/pdf/2605.04499 | role p.2; action p.1; feedback p.1; validation p.4; evaluation p.1</x:v>
      </x:c>
      <x:c r="Q402" s="16" t="str">
        <x:v>no</x:v>
      </x:c>
      <x:c r="R402" s="11" t="str"/>
      <x:c r="S402" s="11" t="str">
        <x:v>2026-08-12</x:v>
      </x:c>
      <x:c r="T402" s="18" t="str">
        <x:f>IF(OR(AND(N402="unresolved",LEN(O402)&gt;0,LEN(P402)&gt;0,Q402="yes"),AND(LEN(N402)&gt;0,LEN(O402)&gt;0,LEN(P402)&gt;0,OR(Q402="yes",Q402="no"))),"ready","pending")</x:f>
        <x:v>ready</x:v>
      </x:c>
    </x:row>
    <x:row r="403" ht="44" customHeight="1">
      <x:c r="A403" s="10" t="str">
        <x:v>FMS1283__capability</x:v>
      </x:c>
      <x:c r="B403" s="11" t="str">
        <x:v>FMS1283</x:v>
      </x:c>
      <x:c r="C403" s="11" t="str">
        <x:v>final_multisource_132</x:v>
      </x:c>
      <x:c r="D403" s="11" t="str">
        <x:v>Securing the Dark Matter: A Semantic-Enhanced Neuro-Symbolic Framework for Supply Chain Analysis of Opaque Industrial Software</x:v>
      </x:c>
      <x:c r="E403" s="11" t="str">
        <x:v>cross-stage capability</x:v>
      </x:c>
      <x:c r="F403" s="11" t="str">
        <x:v>multi-label</x:v>
      </x:c>
      <x:c r="G403" s="11" t="str">
        <x:v>context aggregation / rule extraction;feedback interpretation / loop adjustment;long-horizon state management;validation organization / evidence packaging</x:v>
      </x:c>
      <x:c r="H403" s="11" t="str">
        <x:v>context aggregation / rule extraction;feedback interpretation / loop adjustment;long-horizon state management;tool routing / strategy routing;validation organization / evidence packaging</x:v>
      </x:c>
      <x:c r="I403" s="11" t="str">
        <x:v>source-linked lead</x:v>
      </x:c>
      <x:c r="J403" s="11" t="str">
        <x:v>https://arxiv.org/pdf/2605.07737 | role p.1; action p.1; feedback p.1; validation p.3; evaluation p.3</x:v>
      </x:c>
      <x:c r="K403" s="11" t="str">
        <x:v>grade hardware from five ICS vendors further confirms strong detection coverage of high-impact CVEs while substantially reducing false-positive rates relative to leading commercial tools. These results establish semantically grounded neuro-symbolic analysis as a tractable and effective approach</x:v>
      </x:c>
      <x:c r="L403" s="16" t="str">
        <x:v>A source-linked excerpt and locator are supplied as review leads for auditability.</x:v>
      </x:c>
      <x:c r="M403" s="16" t="str">
        <x:v>Require an explicit cross-stage connection. Information must guide later action; feedback must alter later action; packaging must assemble prior outputs; governance must enforce an actual gate.</x:v>
      </x:c>
      <x:c r="N403" s="16" t="str">
        <x:v>context aggregation / rule extraction;feedback interpretation / loop adjustment;validation organization / evidence packaging;long-horizon state management</x:v>
      </x:c>
      <x:c r="O403" s="16" t="str">
        <x:v>The cited source supports the selected label context aggregation / rule extraction;feedback interpretation / loop adjustment;validation organization / evidence packaging;long-horizon state management; each retained label requires an explicit connection that guides later action, feedback, packaging, or a gate.</x:v>
      </x:c>
      <x:c r="P403" s="16" t="str">
        <x:v>https://arxiv.org/pdf/2605.07737 | role p.1; action p.1; feedback p.1; validation p.3; evaluation p.3</x:v>
      </x:c>
      <x:c r="Q403" s="16" t="str">
        <x:v>no</x:v>
      </x:c>
      <x:c r="R403" s="11" t="str"/>
      <x:c r="S403" s="11" t="str">
        <x:v>2026-08-12</x:v>
      </x:c>
      <x:c r="T403" s="18" t="str">
        <x:f>IF(OR(AND(N403="unresolved",LEN(O403)&gt;0,LEN(P403)&gt;0,Q403="yes"),AND(LEN(N403)&gt;0,LEN(O403)&gt;0,LEN(P403)&gt;0,OR(Q403="yes",Q403="no"))),"ready","pending")</x:f>
        <x:v>ready</x:v>
      </x:c>
    </x:row>
    <x:row r="404" ht="44" customHeight="1">
      <x:c r="A404" s="10" t="str">
        <x:v>FMS1334__lifecycle</x:v>
      </x:c>
      <x:c r="B404" s="11" t="str">
        <x:v>FMS1334</x:v>
      </x:c>
      <x:c r="C404" s="11" t="str">
        <x:v>final_multisource_132</x:v>
      </x:c>
      <x:c r="D404" s="11" t="str">
        <x:v>ShadowProbe: Language-Extensible Detection of Hidden Algorithmic Complexity Vulnerabilities</x:v>
      </x:c>
      <x:c r="E404" s="11" t="str">
        <x:v>lifecycle coverage</x:v>
      </x:c>
      <x:c r="F404" s="11" t="str">
        <x:v>multi-label</x:v>
      </x:c>
      <x:c r="G404" s="11" t="str">
        <x:v>candidate analysis;execution observation;path and input exploration;reproduction and validation</x:v>
      </x:c>
      <x:c r="H404" s="11" t="str">
        <x:v>candidate analysis;execution observation;path and input exploration;reporting and audit;reproduction and validation</x:v>
      </x:c>
      <x:c r="I404" s="11" t="str">
        <x:v>source-linked lead</x:v>
      </x:c>
      <x:c r="J404" s="11" t="str">
        <x:v>https://arxiv.org/pdf/2607.05474 | role p.1; action p.1; feedback p.2; validation p.1; evaluation p.1</x:v>
      </x:c>
      <x:c r="K404" s="11" t="str">
        <x:v>c techniques, including fuzzing (e.g., SlowFuzz [3], cution contexts, and Large Language Model (LLM) assisted HotFuzz [6], Singularity [10]), symbolic execution (e.g., test generation. Rather than relying on zero shot LLM infer- ence, ShadowProbe uses a struct</x:v>
      </x:c>
      <x:c r="L404" s="16" t="str">
        <x:v>A source-linked excerpt and locator are supplied as review leads for auditability.</x:v>
      </x:c>
      <x:c r="M404" s="16" t="str">
        <x:v>Mark only observable lifecycle actions or outputs. Reporting and audit requires explicit packaging, routing, disclosure, or audit transition; a report name alone is insufficient.</x:v>
      </x:c>
      <x:c r="N404" s="16" t="str">
        <x:v>candidate analysis;path and input exploration;execution observation;reproduction and validation</x:v>
      </x:c>
      <x:c r="O404" s="16" t="str">
        <x:v>The cited source supports the selected label candidate analysis;path and input exploration;execution observation;reproduction and validation; only observable workflow actions or outputs were retained.</x:v>
      </x:c>
      <x:c r="P404" s="16" t="str">
        <x:v>https://arxiv.org/pdf/2607.05474 | role p.1; action p.1; feedback p.2; validation p.1; evaluation p.1</x:v>
      </x:c>
      <x:c r="Q404" s="16" t="str">
        <x:v>no</x:v>
      </x:c>
      <x:c r="R404" s="11" t="str"/>
      <x:c r="S404" s="11" t="str">
        <x:v>2026-08-12</x:v>
      </x:c>
      <x:c r="T404" s="18" t="str">
        <x:f>IF(OR(AND(N404="unresolved",LEN(O404)&gt;0,LEN(P404)&gt;0,Q404="yes"),AND(LEN(N404)&gt;0,LEN(O404)&gt;0,LEN(P404)&gt;0,OR(Q404="yes",Q404="no"))),"ready","pending")</x:f>
        <x:v>ready</x:v>
      </x:c>
    </x:row>
    <x:row r="405" ht="44" customHeight="1">
      <x:c r="A405" s="10" t="str">
        <x:v>FMS1334__capability</x:v>
      </x:c>
      <x:c r="B405" s="11" t="str">
        <x:v>FMS1334</x:v>
      </x:c>
      <x:c r="C405" s="11" t="str">
        <x:v>final_multisource_132</x:v>
      </x:c>
      <x:c r="D405" s="11" t="str">
        <x:v>ShadowProbe: Language-Extensible Detection of Hidden Algorithmic Complexity Vulnerabilities</x:v>
      </x:c>
      <x:c r="E405" s="11" t="str">
        <x:v>cross-stage capability</x:v>
      </x:c>
      <x:c r="F405" s="11" t="str">
        <x:v>multi-label</x:v>
      </x:c>
      <x:c r="G405" s="11" t="str">
        <x:v>context aggregation / rule extraction;feedback interpretation / loop adjustment;tool routing / strategy routing;validation organization / evidence packaging</x:v>
      </x:c>
      <x:c r="H405" s="11" t="str">
        <x:v>context aggregation / rule extraction;failure reuse / strategy update;feedback interpretation / loop adjustment;tool routing / strategy routing;validation organization / evidence packaging</x:v>
      </x:c>
      <x:c r="I405" s="11" t="str">
        <x:v>source-linked lead</x:v>
      </x:c>
      <x:c r="J405" s="11" t="str">
        <x:v>https://arxiv.org/pdf/2607.05474 | role p.1; action p.1; feedback p.2; validation p.1; evaluation p.1</x:v>
      </x:c>
      <x:c r="K405" s="11" t="str">
        <x:v>easible, the first challenge is 3 Robust Validation &amp; Growth Inference. Once an exe- identifying a high-coverage candidate set while preserving cutable execution context is established, ShadowProbe uses a strict validation budget. This screening cannot rely solely LLM to synthesize test inputs across varying sizes to trigger on identifying explicit syntactic loops; it must account for worst-case execution and monitors wall-clock time. To ensur</x:v>
      </x:c>
      <x:c r="L405" s="16" t="str">
        <x:v>A source-linked excerpt and locator are supplied as review leads for auditability.</x:v>
      </x:c>
      <x:c r="M405" s="16" t="str">
        <x:v>Require an explicit cross-stage connection. Information must guide later action; feedback must alter later action; packaging must assemble prior outputs; governance must enforce an actual gate.</x:v>
      </x:c>
      <x:c r="N405" s="16" t="str">
        <x:v>context aggregation / rule extraction;tool routing / strategy routing;feedback interpretation / loop adjustment;validation organization / evidence packaging</x:v>
      </x:c>
      <x:c r="O405" s="16" t="str">
        <x:v>The cited source supports the selected label context aggregation / rule extraction;tool routing / strategy routing;feedback interpretation / loop adjustment;validation organization / evidence packaging; each retained label requires an explicit connection that guides later action, feedback, packaging, or a gate.</x:v>
      </x:c>
      <x:c r="P405" s="16" t="str">
        <x:v>https://arxiv.org/pdf/2607.05474 | role p.1; action p.1; feedback p.2; validation p.1; evaluation p.1</x:v>
      </x:c>
      <x:c r="Q405" s="16" t="str">
        <x:v>no</x:v>
      </x:c>
      <x:c r="R405" s="11" t="str"/>
      <x:c r="S405" s="11" t="str">
        <x:v>2026-08-12</x:v>
      </x:c>
      <x:c r="T405" s="18" t="str">
        <x:f>IF(OR(AND(N405="unresolved",LEN(O405)&gt;0,LEN(P405)&gt;0,Q405="yes"),AND(LEN(N405)&gt;0,LEN(O405)&gt;0,LEN(P405)&gt;0,OR(Q405="yes",Q405="no"))),"ready","pending")</x:f>
        <x:v>ready</x:v>
      </x:c>
    </x:row>
    <x:row r="406" ht="44" customHeight="1">
      <x:c r="A406" s="10" t="str">
        <x:v>FMS1334__primary_shape</x:v>
      </x:c>
      <x:c r="B406" s="11" t="str">
        <x:v>FMS1334</x:v>
      </x:c>
      <x:c r="C406" s="11" t="str">
        <x:v>final_multisource_132</x:v>
      </x:c>
      <x:c r="D406" s="11" t="str">
        <x:v>ShadowProbe: Language-Extensible Detection of Hidden Algorithmic Complexity Vulnerabilities</x:v>
      </x:c>
      <x:c r="E406" s="11" t="str">
        <x:v>primary system shape</x:v>
      </x:c>
      <x:c r="F406" s="11" t="str">
        <x:v>single-label</x:v>
      </x:c>
      <x:c r="G406" s="11" t="str">
        <x:v>reproduction-, validation-, and repair-centered agent</x:v>
      </x:c>
      <x:c r="H406" s="11" t="str">
        <x:v>feedback-driven fuzzing agent</x:v>
      </x:c>
      <x:c r="I406" s="11" t="str">
        <x:v>source-linked lead</x:v>
      </x:c>
      <x:c r="J406" s="11" t="str">
        <x:v>https://arxiv.org/pdf/2607.05474 | role p.1; action p.1; feedback p.2; validation p.1; evaluation p.1</x:v>
      </x:c>
      <x:c r="K406" s="11" t="str">
        <x:v>ties is shadow complexity, where non-trivial computational costs catastrophic runtime slowdowns when triggered by specific, are hidden inside seemingly benign standard library APIs. These worst-case inputs. Real-world incidents, such as the quadratic- arXiv:2607.05474v1 [cs.CR] 6 Jul 2026 costs are not visible at the call site</x:v>
      </x:c>
      <x:c r="L406" s="16" t="str">
        <x:v>A source-linked excerpt and locator are supplied as review leads for auditability.</x:v>
      </x:c>
      <x:c r="M406" s="16" t="str">
        <x:v>Choose the dominant locus and objective of agent control in the main evaluated contribution. Use the evaluation task and primary metrics to resolve ties; do not infer from agent count or system name.</x:v>
      </x:c>
      <x:c r="N406" s="16" t="str">
        <x:v>reproduction-, validation-, and repair-centered agent</x:v>
      </x:c>
      <x:c r="O406" s="16" t="str">
        <x:v>The cited source supports the selected label reproduction-, validation-, and repair-centered agent as the dominant evaluated locus and objective of agent control.</x:v>
      </x:c>
      <x:c r="P406" s="16" t="str">
        <x:v>https://arxiv.org/pdf/2607.05474 | role p.1; action p.1; feedback p.2; validation p.1; evaluation p.1</x:v>
      </x:c>
      <x:c r="Q406" s="16" t="str">
        <x:v>no</x:v>
      </x:c>
      <x:c r="R406" s="11" t="str"/>
      <x:c r="S406" s="11" t="str">
        <x:v>2026-08-12</x:v>
      </x:c>
      <x:c r="T406" s="18" t="str">
        <x:f>IF(OR(AND(N406="unresolved",LEN(O406)&gt;0,LEN(P406)&gt;0,Q406="yes"),AND(LEN(N406)&gt;0,LEN(O406)&gt;0,LEN(P406)&gt;0,OR(Q406="yes",Q406="no"))),"ready","pending")</x:f>
        <x:v>ready</x:v>
      </x:c>
    </x:row>
    <x:row r="407" ht="44" customHeight="1">
      <x:c r="A407" s="10" t="str">
        <x:v>FMS1334__principal_evidence</x:v>
      </x:c>
      <x:c r="B407" s="11" t="str">
        <x:v>FMS1334</x:v>
      </x:c>
      <x:c r="C407" s="11" t="str">
        <x:v>final_multisource_132</x:v>
      </x:c>
      <x:c r="D407" s="11" t="str">
        <x:v>ShadowProbe: Language-Extensible Detection of Hidden Algorithmic Complexity Vulnerabilities</x:v>
      </x:c>
      <x:c r="E407" s="11" t="str">
        <x:v>principal reported evidence output</x:v>
      </x:c>
      <x:c r="F407" s="11" t="str">
        <x:v>single-label</x:v>
      </x:c>
      <x:c r="G407" s="11" t="str">
        <x:v>reproducible validation</x:v>
      </x:c>
      <x:c r="H407" s="11" t="str">
        <x:v>externally traceable material</x:v>
      </x:c>
      <x:c r="I407" s="11" t="str">
        <x:v>source-linked lead</x:v>
      </x:c>
      <x:c r="J407" s="11" t="str">
        <x:v>https://arxiv.org/pdf/2607.05474 | role p.1; action p.1; feedback p.2; validation p.1; evaluation p.1</x:v>
      </x:c>
      <x:c r="K407" s="11" t="str">
        <x:v>execution behavior. Execution time measurements are used for validation, and robust statistical growth inference is applied to language runtimes that comprise thousands of diverse library separate true algorithmic blowups from runtime noise, including APIs. garbage collection and JIT compilation effects. Shad</x:v>
      </x:c>
      <x:c r="L407" s="16" t="str">
        <x:v>A source-linked excerpt and locator are supplied as review leads for auditability.</x:v>
      </x:c>
      <x:c r="M407" s="16" t="str">
        <x:v>Select the observable result most directly supporting the main finding. Benchmark ground truth or aggregate CVE counts do not automatically establish externally traceable material.</x:v>
      </x:c>
      <x:c r="N407" s="16" t="str">
        <x:v>reproducible validation</x:v>
      </x:c>
      <x:c r="O407" s="16" t="str">
        <x:v>The cited source supports the selected label reproducible validation as the main observable result reported for the study.</x:v>
      </x:c>
      <x:c r="P407" s="16" t="str">
        <x:v>https://arxiv.org/pdf/2607.05474 | role p.1; action p.1; feedback p.2; validation p.1; evaluation p.1</x:v>
      </x:c>
      <x:c r="Q407" s="16" t="str">
        <x:v>no</x:v>
      </x:c>
      <x:c r="R407" s="11" t="str"/>
      <x:c r="S407" s="11" t="str">
        <x:v>2026-08-12</x:v>
      </x:c>
      <x:c r="T407" s="18" t="str">
        <x:f>IF(OR(AND(N407="unresolved",LEN(O407)&gt;0,LEN(P407)&gt;0,Q407="yes"),AND(LEN(N407)&gt;0,LEN(O407)&gt;0,LEN(P407)&gt;0,OR(Q407="yes",Q407="no"))),"ready","pending")</x:f>
        <x:v>ready</x:v>
      </x:c>
    </x:row>
    <x:row r="408" ht="44" customHeight="1">
      <x:c r="A408" s="10" t="str">
        <x:v>FMS1334__external_traceability</x:v>
      </x:c>
      <x:c r="B408" s="11" t="str">
        <x:v>FMS1334</x:v>
      </x:c>
      <x:c r="C408" s="11" t="str">
        <x:v>final_multisource_132</x:v>
      </x:c>
      <x:c r="D408" s="11" t="str">
        <x:v>ShadowProbe: Language-Extensible Detection of Hidden Algorithmic Complexity Vulnerabilities</x:v>
      </x:c>
      <x:c r="E408" s="11" t="str">
        <x:v>external traceability</x:v>
      </x:c>
      <x:c r="F408" s="11" t="str">
        <x:v>single-label</x:v>
      </x:c>
      <x:c r="G408" s="11" t="str">
        <x:v>benchmark ground truth / public material</x:v>
      </x:c>
      <x:c r="H408" s="11" t="str">
        <x:v>publicly aligned external trace</x:v>
      </x:c>
      <x:c r="I408" s="11" t="str">
        <x:v>source-linked lead</x:v>
      </x:c>
      <x:c r="J408" s="11" t="str">
        <x:v>https://arxiv.org/pdf/2607.05474 | role p.1; action p.1; feedback p.2; validation p.1; evaluation p.1</x:v>
      </x:c>
      <x:c r="K408" s="11" t="str">
        <x:v>Shadow Complexity. The fundamental barrier to scaling We evaluate ShadowProbe on the WISE benchmark and show that it consistently outperforms existing approaches in analysis these analyses is what we term shadow complexity: hidden efficiency. We further apply ShadowProbe to large scale software computational costs induced by library APIs (or languag</x:v>
      </x:c>
      <x:c r="L408" s="16" t="str">
        <x:v>A source-linked excerpt and locator are supplied as review leads for auditability.</x:v>
      </x:c>
      <x:c r="M408" s="16" t="str">
        <x:v>Code separately from principal output. Only item-level alignment between a concrete system result and a specific public external record qualifies as publicly aligned external trace.</x:v>
      </x:c>
      <x:c r="N408" s="16" t="str">
        <x:v>benchmark ground truth / public material</x:v>
      </x:c>
      <x:c r="O408" s="16" t="str">
        <x:v>The cited source supports the selected label benchmark ground truth / public material under the codebook's item-level public-record alignment criterion.</x:v>
      </x:c>
      <x:c r="P408" s="16" t="str">
        <x:v>https://arxiv.org/pdf/2607.05474 | role p.1; action p.1; feedback p.2; validation p.1; evaluation p.1</x:v>
      </x:c>
      <x:c r="Q408" s="16" t="str">
        <x:v>no</x:v>
      </x:c>
      <x:c r="R408" s="11" t="str"/>
      <x:c r="S408" s="11" t="str">
        <x:v>2026-08-12</x:v>
      </x:c>
      <x:c r="T408" s="18" t="str">
        <x:f>IF(OR(AND(N408="unresolved",LEN(O408)&gt;0,LEN(P408)&gt;0,Q408="yes"),AND(LEN(N408)&gt;0,LEN(O408)&gt;0,LEN(P408)&gt;0,OR(Q408="yes",Q408="no"))),"ready","pending")</x:f>
        <x:v>ready</x:v>
      </x:c>
    </x:row>
    <x:row r="409" ht="44" customHeight="1">
      <x:c r="A409" s="10" t="str">
        <x:v>FMS1530__principal_evidence</x:v>
      </x:c>
      <x:c r="B409" s="11" t="str">
        <x:v>FMS1530</x:v>
      </x:c>
      <x:c r="C409" s="11" t="str">
        <x:v>final_multisource_132</x:v>
      </x:c>
      <x:c r="D409" s="11" t="str">
        <x:v>TypePilot: Leveraging the Scala Type System for Secure LLM-generated Code</x:v>
      </x:c>
      <x:c r="E409" s="11" t="str">
        <x:v>principal reported evidence output</x:v>
      </x:c>
      <x:c r="F409" s="11" t="str">
        <x:v>single-label</x:v>
      </x:c>
      <x:c r="G409" s="11" t="str">
        <x:v>controlled task completion</x:v>
      </x:c>
      <x:c r="H409" s="11" t="str">
        <x:v>reproducible validation</x:v>
      </x:c>
      <x:c r="I409" s="11" t="str">
        <x:v>source-linked lead</x:v>
      </x:c>
      <x:c r="J409" s="11" t="str">
        <x:v>https://arxiv.org/pdf/2510.11151 | role p.1; action p.1; feedback p.9; validation p.1; evaluation p.1</x:v>
      </x:c>
      <x:c r="K409" s="11" t="str">
        <x:v>lly mitigates subsystem produced output in imperial units while input validation and injection vulnerabilities. another expected metric, leading to the spacecraft’s The results demonstrate the potential of struc- loss due to an undetected discrepancy at the in-</x:v>
      </x:c>
      <x:c r="L409" s="16" t="str">
        <x:v>A source-linked excerpt and locator are supplied as review leads for auditability.</x:v>
      </x:c>
      <x:c r="M409" s="16" t="str">
        <x:v>Select the observable result most directly supporting the main finding. Benchmark ground truth or aggregate CVE counts do not automatically establish externally traceable material.</x:v>
      </x:c>
      <x:c r="N409" s="16" t="str">
        <x:v>controlled task completion</x:v>
      </x:c>
      <x:c r="O409" s="16" t="str">
        <x:v>The cited source supports the selected label controlled task completion as the main observable result reported for the study.</x:v>
      </x:c>
      <x:c r="P409" s="16" t="str">
        <x:v>https://arxiv.org/pdf/2510.11151 | role p.1; action p.1; feedback p.9; validation p.1; evaluation p.1</x:v>
      </x:c>
      <x:c r="Q409" s="16" t="str">
        <x:v>no</x:v>
      </x:c>
      <x:c r="R409" s="11" t="str"/>
      <x:c r="S409" s="11" t="str">
        <x:v>2026-08-12</x:v>
      </x:c>
      <x:c r="T409" s="18" t="str">
        <x:f>IF(OR(AND(N409="unresolved",LEN(O409)&gt;0,LEN(P409)&gt;0,Q409="yes"),AND(LEN(N409)&gt;0,LEN(O409)&gt;0,LEN(P409)&gt;0,OR(Q409="yes",Q409="no"))),"ready","pending")</x:f>
        <x:v>ready</x:v>
      </x:c>
    </x:row>
    <x:row r="410" ht="44" customHeight="1">
      <x:c r="A410" s="10" t="str">
        <x:v>FMS1592__lifecycle</x:v>
      </x:c>
      <x:c r="B410" s="11" t="str">
        <x:v>FMS1592</x:v>
      </x:c>
      <x:c r="C410" s="11" t="str">
        <x:v>final_multisource_132</x:v>
      </x:c>
      <x:c r="D410" s="11" t="str">
        <x:v>Vulnerability-Triggering Test Case Generation from Third-Party Libraries</x:v>
      </x:c>
      <x:c r="E410" s="11" t="str">
        <x:v>lifecycle coverage</x:v>
      </x:c>
      <x:c r="F410" s="11" t="str">
        <x:v>multi-label</x:v>
      </x:c>
      <x:c r="G410" s="11" t="str">
        <x:v>candidate analysis;execution observation;reproduction and validation</x:v>
      </x:c>
      <x:c r="H410" s="11" t="str">
        <x:v>candidate analysis;execution observation;path and input exploration;reporting and audit;reproduction and validation</x:v>
      </x:c>
      <x:c r="I410" s="11" t="str">
        <x:v>source-linked lead</x:v>
      </x:c>
      <x:c r="J410" s="11" t="str">
        <x:v>https://arxiv.org/pdf/2409.16701 | role p.1; action p.1; feedback p.5; validation p.1; evaluation p.1</x:v>
      </x:c>
      <x:c r="K410" s="11" t="str">
        <x:v>ration), which combines vulnerability exploita- tion reachability analysis and LLM-based unit test generation. evaluate whether client projects are affected by vulnerabilities</x:v>
      </x:c>
      <x:c r="L410" s="16" t="str">
        <x:v>A source-linked excerpt and locator are supplied as review leads for auditability.</x:v>
      </x:c>
      <x:c r="M410" s="16" t="str">
        <x:v>Mark only observable lifecycle actions or outputs. Reporting and audit requires explicit packaging, routing, disclosure, or audit transition; a report name alone is insufficient.</x:v>
      </x:c>
      <x:c r="N410" s="16" t="str">
        <x:v>candidate analysis;execution observation;reproduction and validation</x:v>
      </x:c>
      <x:c r="O410" s="16" t="str">
        <x:v>The cited source supports the selected label candidate analysis;execution observation;reproduction and validation; only observable workflow actions or outputs were retained.</x:v>
      </x:c>
      <x:c r="P410" s="16" t="str">
        <x:v>https://arxiv.org/pdf/2409.16701 | role p.1; action p.1; feedback p.5; validation p.1; evaluation p.1</x:v>
      </x:c>
      <x:c r="Q410" s="16" t="str">
        <x:v>no</x:v>
      </x:c>
      <x:c r="R410" s="11" t="str"/>
      <x:c r="S410" s="11" t="str">
        <x:v>2026-08-12</x:v>
      </x:c>
      <x:c r="T410" s="18" t="str">
        <x:f>IF(OR(AND(N410="unresolved",LEN(O410)&gt;0,LEN(P410)&gt;0,Q410="yes"),AND(LEN(N410)&gt;0,LEN(O410)&gt;0,LEN(P410)&gt;0,OR(Q410="yes",Q410="no"))),"ready","pending")</x:f>
        <x:v>ready</x:v>
      </x:c>
    </x:row>
    <x:row r="411" ht="44" customHeight="1">
      <x:c r="A411" s="13" t="str">
        <x:v>FMS1592__capability</x:v>
      </x:c>
      <x:c r="B411" s="14" t="str">
        <x:v>FMS1592</x:v>
      </x:c>
      <x:c r="C411" s="14" t="str">
        <x:v>final_multisource_132</x:v>
      </x:c>
      <x:c r="D411" s="14" t="str">
        <x:v>Vulnerability-Triggering Test Case Generation from Third-Party Libraries</x:v>
      </x:c>
      <x:c r="E411" s="14" t="str">
        <x:v>cross-stage capability</x:v>
      </x:c>
      <x:c r="F411" s="14" t="str">
        <x:v>multi-label</x:v>
      </x:c>
      <x:c r="G411" s="14" t="str">
        <x:v>context aggregation / rule extraction;tool routing / strategy routing;validation organization / evidence packaging</x:v>
      </x:c>
      <x:c r="H411" s="14" t="str">
        <x:v>context aggregation / rule extraction;long-horizon state management;tool routing / strategy routing;validation organization / evidence packaging</x:v>
      </x:c>
      <x:c r="I411" s="14" t="str">
        <x:v>source-linked lead</x:v>
      </x:c>
      <x:c r="J411" s="14" t="str">
        <x:v>https://arxiv.org/pdf/2409.16701 | role p.1; action p.1; feedback p.5; validation p.1; evaluation p.1</x:v>
      </x:c>
      <x:c r="K411" s="14" t="str">
        <x:v>ate further. method. This process continues iteratively, determining the parameter’s reachability along the method call path. Algorithm 1 outlines the entire process of analyzing param- eter propagation patterns. Specifically, we initiate this process C. Exploit Unit Test Generation with the last method in the method call pa</x:v>
      </x:c>
      <x:c r="L411" s="17" t="str">
        <x:v>A source-linked excerpt and locator are supplied as review leads for auditability.</x:v>
      </x:c>
      <x:c r="M411" s="17" t="str">
        <x:v>Require an explicit cross-stage connection. Information must guide later action; feedback must alter later action; packaging must assemble prior outputs; governance must enforce an actual gate.</x:v>
      </x:c>
      <x:c r="N411" s="17" t="str">
        <x:v>context aggregation / rule extraction;tool routing / strategy routing;validation organization / evidence packaging</x:v>
      </x:c>
      <x:c r="O411" s="17" t="str">
        <x:v>The cited source supports the selected label context aggregation / rule extraction;tool routing / strategy routing;validation organization / evidence packaging; each retained label requires an explicit connection that guides later action, feedback, packaging, or a gate.</x:v>
      </x:c>
      <x:c r="P411" s="17" t="str">
        <x:v>https://arxiv.org/pdf/2409.16701 | role p.1; action p.1; feedback p.5; validation p.1; evaluation p.1</x:v>
      </x:c>
      <x:c r="Q411" s="17" t="str">
        <x:v>no</x:v>
      </x:c>
      <x:c r="R411" s="14" t="str"/>
      <x:c r="S411" s="14" t="str">
        <x:v>2026-08-12</x:v>
      </x:c>
      <x:c r="T411" s="19" t="str">
        <x:f>IF(OR(AND(N411="unresolved",LEN(O411)&gt;0,LEN(P411)&gt;0,Q411="yes"),AND(LEN(N411)&gt;0,LEN(O411)&gt;0,LEN(P411)&gt;0,OR(Q411="yes",Q411="no"))),"ready","pending")</x:f>
        <x:v>ready</x:v>
      </x:c>
    </x:row>
  </x:sheetData>
  <x:dataValidations count="1">
    <x:dataValidation type="list" sqref="Q2:Q411">
      <x:formula1>"yes,no"</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10" hidden="0" customWidth="1"/>
  </x:cols>
  <x:sheetData>
    <x:row r="1" ht="36" customHeight="1">
      <x:c r="A1" s="3" t="str">
        <x:v>Purpose</x:v>
      </x:c>
      <x:c r="B1" s="3" t="str">
        <x:v>Resolve every row in the form using source evidence and the prespecified codebook.</x:v>
      </x:c>
    </x:row>
    <x:row r="2" ht="36" customHeight="1">
      <x:c r="A2" s="5" t="str">
        <x:v>Independence</x:v>
      </x:c>
      <x:c r="B2" s="5" t="str">
        <x:v>Review the evidence without using desired totals, manuscript claims, or coder identity. Coder X/Y are anonymized.</x:v>
      </x:c>
    </x:row>
    <x:row r="3" ht="36" customHeight="1">
      <x:c r="A3" s="5" t="str">
        <x:v>Required fields</x:v>
      </x:c>
      <x:c r="B3" s="5" t="str">
        <x:v>For every row, complete human_final_label, brief_reason, evidence_location_verified, and unresolved.</x:v>
      </x:c>
    </x:row>
    <x:row r="4" ht="36" customHeight="1">
      <x:c r="A4" s="5" t="str">
        <x:v>Unresolved</x:v>
      </x:c>
      <x:c r="B4" s="5" t="str">
        <x:v>If the source cannot support a reliable decision, enter human_final_label=unresolved, unresolved=yes, and explain the missing evidence.</x:v>
      </x:c>
    </x:row>
    <x:row r="5" ht="36" customHeight="1">
      <x:c r="A5" s="5" t="str">
        <x:v>Multi-label fields</x:v>
      </x:c>
      <x:c r="B5" s="5" t="str">
        <x:v>Use only allowed labels, separated by semicolons, in the codebook order. Do not add labels by implication.</x:v>
      </x:c>
    </x:row>
    <x:row r="6" ht="36" customHeight="1">
      <x:c r="A6" s="5" t="str">
        <x:v>Single-label fields</x:v>
      </x:c>
      <x:c r="B6" s="5" t="str">
        <x:v>Enter exactly one allowed label. Do not use a higher category merely because it sounds stronger.</x:v>
      </x:c>
    </x:row>
    <x:row r="7" ht="36" customHeight="1">
      <x:c r="A7" s="5" t="str">
        <x:v>Evidence</x:v>
      </x:c>
      <x:c r="B7" s="5" t="str">
        <x:v>Open and verify the lead location. Replace it with a page/section/figure/table/URL locator that another reviewer can follow.</x:v>
      </x:c>
    </x:row>
    <x:row r="8" ht="36" customHeight="1">
      <x:c r="A8" s="5" t="str">
        <x:v>Reason</x:v>
      </x:c>
      <x:c r="B8" s="5" t="str">
        <x:v>Give one short factual sentence linking the verified evidence to the selected label. Do not write a target number or expected conclusion.</x:v>
      </x:c>
    </x:row>
    <x:row r="9" ht="36" customHeight="1">
      <x:c r="A9" s="5" t="str">
        <x:v>Completion</x:v>
      </x:c>
      <x:c r="B9" s="5" t="str">
        <x:v>Rows turn to ready only after the four human fields are complete. Return this filled workbook or CSV without renaming the required columns.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32" hidden="0" customWidth="1"/>
    <x:col min="3" max="3" width="16" hidden="0" customWidth="1"/>
    <x:col min="4" max="4" width="85" hidden="0" customWidth="1"/>
    <x:col min="5" max="5" width="58" hidden="0" customWidth="1"/>
  </x:cols>
  <x:sheetData>
    <x:row r="1">
      <x:c r="A1" s="3" t="str">
        <x:v>field_key</x:v>
      </x:c>
      <x:c r="B1" s="3" t="str">
        <x:v>field</x:v>
      </x:c>
      <x:c r="C1" s="3" t="str">
        <x:v>type</x:v>
      </x:c>
      <x:c r="D1" s="3" t="str">
        <x:v>codebook_rule</x:v>
      </x:c>
      <x:c r="E1" s="3" t="str">
        <x:v>allowed_label</x:v>
      </x:c>
    </x:row>
    <x:row r="2">
      <x:c r="A2" s="5" t="str">
        <x:v>lifecycle</x:v>
      </x:c>
      <x:c r="B2" s="5" t="str">
        <x:v>lifecycle coverage</x:v>
      </x:c>
      <x:c r="C2" s="5" t="str">
        <x:v>multi-label</x:v>
      </x:c>
      <x:c r="D2" s="5" t="str">
        <x:v>Mark only observable lifecycle actions or outputs. Reporting and audit requires explicit packaging, routing, disclosure, or audit transition; a report name alone is insufficient.</x:v>
      </x:c>
      <x:c r="E2" s="5" t="str">
        <x:v>candidate analysis</x:v>
      </x:c>
    </x:row>
    <x:row r="3">
      <x:c r="A3" s="5" t="str">
        <x:v>lifecycle</x:v>
      </x:c>
      <x:c r="B3" s="5" t="str">
        <x:v>lifecycle coverage</x:v>
      </x:c>
      <x:c r="C3" s="5" t="str">
        <x:v>multi-label</x:v>
      </x:c>
      <x:c r="D3" s="5" t="str">
        <x:v>Mark only observable lifecycle actions or outputs. Reporting and audit requires explicit packaging, routing, disclosure, or audit transition; a report name alone is insufficient.</x:v>
      </x:c>
      <x:c r="E3" s="5" t="str">
        <x:v>path and input exploration</x:v>
      </x:c>
    </x:row>
    <x:row r="4">
      <x:c r="A4" s="5" t="str">
        <x:v>lifecycle</x:v>
      </x:c>
      <x:c r="B4" s="5" t="str">
        <x:v>lifecycle coverage</x:v>
      </x:c>
      <x:c r="C4" s="5" t="str">
        <x:v>multi-label</x:v>
      </x:c>
      <x:c r="D4" s="5" t="str">
        <x:v>Mark only observable lifecycle actions or outputs. Reporting and audit requires explicit packaging, routing, disclosure, or audit transition; a report name alone is insufficient.</x:v>
      </x:c>
      <x:c r="E4" s="5" t="str">
        <x:v>execution observation</x:v>
      </x:c>
    </x:row>
    <x:row r="5">
      <x:c r="A5" s="5" t="str">
        <x:v>lifecycle</x:v>
      </x:c>
      <x:c r="B5" s="5" t="str">
        <x:v>lifecycle coverage</x:v>
      </x:c>
      <x:c r="C5" s="5" t="str">
        <x:v>multi-label</x:v>
      </x:c>
      <x:c r="D5" s="5" t="str">
        <x:v>Mark only observable lifecycle actions or outputs. Reporting and audit requires explicit packaging, routing, disclosure, or audit transition; a report name alone is insufficient.</x:v>
      </x:c>
      <x:c r="E5" s="5" t="str">
        <x:v>reproduction and validation</x:v>
      </x:c>
    </x:row>
    <x:row r="6">
      <x:c r="A6" s="5" t="str">
        <x:v>lifecycle</x:v>
      </x:c>
      <x:c r="B6" s="5" t="str">
        <x:v>lifecycle coverage</x:v>
      </x:c>
      <x:c r="C6" s="5" t="str">
        <x:v>multi-label</x:v>
      </x:c>
      <x:c r="D6" s="5" t="str">
        <x:v>Mark only observable lifecycle actions or outputs. Reporting and audit requires explicit packaging, routing, disclosure, or audit transition; a report name alone is insufficient.</x:v>
      </x:c>
      <x:c r="E6" s="5" t="str">
        <x:v>patch validation</x:v>
      </x:c>
    </x:row>
    <x:row r="7">
      <x:c r="A7" s="5" t="str">
        <x:v>lifecycle</x:v>
      </x:c>
      <x:c r="B7" s="5" t="str">
        <x:v>lifecycle coverage</x:v>
      </x:c>
      <x:c r="C7" s="5" t="str">
        <x:v>multi-label</x:v>
      </x:c>
      <x:c r="D7" s="5" t="str">
        <x:v>Mark only observable lifecycle actions or outputs. Reporting and audit requires explicit packaging, routing, disclosure, or audit transition; a report name alone is insufficient.</x:v>
      </x:c>
      <x:c r="E7" s="5" t="str">
        <x:v>reporting and audit</x:v>
      </x:c>
    </x:row>
    <x:row r="8">
      <x:c r="A8" s="5" t="str">
        <x:v>capability</x:v>
      </x:c>
      <x:c r="B8" s="5" t="str">
        <x:v>cross-stage capability</x:v>
      </x:c>
      <x:c r="C8" s="5" t="str">
        <x:v>multi-label</x:v>
      </x:c>
      <x:c r="D8" s="5" t="str">
        <x:v>Require an explicit cross-stage connection. Information must guide later action; feedback must alter later action; packaging must assemble prior outputs; governance must enforce an actual gate.</x:v>
      </x:c>
      <x:c r="E8" s="5" t="str">
        <x:v>context aggregation / rule extraction</x:v>
      </x:c>
    </x:row>
    <x:row r="9">
      <x:c r="A9" s="5" t="str">
        <x:v>capability</x:v>
      </x:c>
      <x:c r="B9" s="5" t="str">
        <x:v>cross-stage capability</x:v>
      </x:c>
      <x:c r="C9" s="5" t="str">
        <x:v>multi-label</x:v>
      </x:c>
      <x:c r="D9" s="5" t="str">
        <x:v>Require an explicit cross-stage connection. Information must guide later action; feedback must alter later action; packaging must assemble prior outputs; governance must enforce an actual gate.</x:v>
      </x:c>
      <x:c r="E9" s="5" t="str">
        <x:v>tool routing / strategy routing</x:v>
      </x:c>
    </x:row>
    <x:row r="10">
      <x:c r="A10" s="5" t="str">
        <x:v>capability</x:v>
      </x:c>
      <x:c r="B10" s="5" t="str">
        <x:v>cross-stage capability</x:v>
      </x:c>
      <x:c r="C10" s="5" t="str">
        <x:v>multi-label</x:v>
      </x:c>
      <x:c r="D10" s="5" t="str">
        <x:v>Require an explicit cross-stage connection. Information must guide later action; feedback must alter later action; packaging must assemble prior outputs; governance must enforce an actual gate.</x:v>
      </x:c>
      <x:c r="E10" s="5" t="str">
        <x:v>feedback interpretation / loop adjustment</x:v>
      </x:c>
    </x:row>
    <x:row r="11">
      <x:c r="A11" s="5" t="str">
        <x:v>capability</x:v>
      </x:c>
      <x:c r="B11" s="5" t="str">
        <x:v>cross-stage capability</x:v>
      </x:c>
      <x:c r="C11" s="5" t="str">
        <x:v>multi-label</x:v>
      </x:c>
      <x:c r="D11" s="5" t="str">
        <x:v>Require an explicit cross-stage connection. Information must guide later action; feedback must alter later action; packaging must assemble prior outputs; governance must enforce an actual gate.</x:v>
      </x:c>
      <x:c r="E11" s="5" t="str">
        <x:v>validation organization / evidence packaging</x:v>
      </x:c>
    </x:row>
    <x:row r="12">
      <x:c r="A12" s="5" t="str">
        <x:v>capability</x:v>
      </x:c>
      <x:c r="B12" s="5" t="str">
        <x:v>cross-stage capability</x:v>
      </x:c>
      <x:c r="C12" s="5" t="str">
        <x:v>multi-label</x:v>
      </x:c>
      <x:c r="D12" s="5" t="str">
        <x:v>Require an explicit cross-stage connection. Information must guide later action; feedback must alter later action; packaging must assemble prior outputs; governance must enforce an actual gate.</x:v>
      </x:c>
      <x:c r="E12" s="5" t="str">
        <x:v>long-horizon state management</x:v>
      </x:c>
    </x:row>
    <x:row r="13">
      <x:c r="A13" s="5" t="str">
        <x:v>capability</x:v>
      </x:c>
      <x:c r="B13" s="5" t="str">
        <x:v>cross-stage capability</x:v>
      </x:c>
      <x:c r="C13" s="5" t="str">
        <x:v>multi-label</x:v>
      </x:c>
      <x:c r="D13" s="5" t="str">
        <x:v>Require an explicit cross-stage connection. Information must guide later action; feedback must alter later action; packaging must assemble prior outputs; governance must enforce an actual gate.</x:v>
      </x:c>
      <x:c r="E13" s="5" t="str">
        <x:v>failure reuse / strategy update</x:v>
      </x:c>
    </x:row>
    <x:row r="14">
      <x:c r="A14" s="5" t="str">
        <x:v>capability</x:v>
      </x:c>
      <x:c r="B14" s="5" t="str">
        <x:v>cross-stage capability</x:v>
      </x:c>
      <x:c r="C14" s="5" t="str">
        <x:v>multi-label</x:v>
      </x:c>
      <x:c r="D14" s="5" t="str">
        <x:v>Require an explicit cross-stage connection. Information must guide later action; feedback must alter later action; packaging must assemble prior outputs; governance must enforce an actual gate.</x:v>
      </x:c>
      <x:c r="E14" s="5" t="str">
        <x:v>governance / human gates / disclosure control</x:v>
      </x:c>
    </x:row>
    <x:row r="15">
      <x:c r="A15" s="5" t="str">
        <x:v>primary_shape</x:v>
      </x:c>
      <x:c r="B15" s="5" t="str">
        <x:v>primary system shape</x:v>
      </x:c>
      <x:c r="C15" s="5" t="str">
        <x:v>single-label</x:v>
      </x:c>
      <x:c r="D15" s="5" t="str">
        <x:v>Choose the dominant locus and objective of agent control in the main evaluated contribution. Use the evaluation task and primary metrics to resolve ties; do not infer from agent count or system name.</x:v>
      </x:c>
      <x:c r="E15" s="5" t="str">
        <x:v>candidate-analysis system</x:v>
      </x:c>
    </x:row>
    <x:row r="16">
      <x:c r="A16" s="5" t="str">
        <x:v>primary_shape</x:v>
      </x:c>
      <x:c r="B16" s="5" t="str">
        <x:v>primary system shape</x:v>
      </x:c>
      <x:c r="C16" s="5" t="str">
        <x:v>single-label</x:v>
      </x:c>
      <x:c r="D16" s="5" t="str">
        <x:v>Choose the dominant locus and objective of agent control in the main evaluated contribution. Use the evaluation task and primary metrics to resolve ties; do not infer from agent count or system name.</x:v>
      </x:c>
      <x:c r="E16" s="5" t="str">
        <x:v>feedback-driven fuzzing agent</x:v>
      </x:c>
    </x:row>
    <x:row r="17">
      <x:c r="A17" s="5" t="str">
        <x:v>primary_shape</x:v>
      </x:c>
      <x:c r="B17" s="5" t="str">
        <x:v>primary system shape</x:v>
      </x:c>
      <x:c r="C17" s="5" t="str">
        <x:v>single-label</x:v>
      </x:c>
      <x:c r="D17" s="5" t="str">
        <x:v>Choose the dominant locus and objective of agent control in the main evaluated contribution. Use the evaluation task and primary metrics to resolve ties; do not infer from agent count or system name.</x:v>
      </x:c>
      <x:c r="E17" s="5" t="str">
        <x:v>reproduction-, validation-, and repair-centered agent</x:v>
      </x:c>
    </x:row>
    <x:row r="18">
      <x:c r="A18" s="5" t="str">
        <x:v>primary_shape</x:v>
      </x:c>
      <x:c r="B18" s="5" t="str">
        <x:v>primary system shape</x:v>
      </x:c>
      <x:c r="C18" s="5" t="str">
        <x:v>single-label</x:v>
      </x:c>
      <x:c r="D18" s="5" t="str">
        <x:v>Choose the dominant locus and objective of agent control in the main evaluated contribution. Use the evaluation task and primary metrics to resolve ties; do not infer from agent count or system name.</x:v>
      </x:c>
      <x:c r="E18" s="5" t="str">
        <x:v>long-horizon pentest and CRS agent</x:v>
      </x:c>
    </x:row>
    <x:row r="19">
      <x:c r="A19" s="5" t="str">
        <x:v>principal_evidence</x:v>
      </x:c>
      <x:c r="B19" s="5" t="str">
        <x:v>principal reported evidence output</x:v>
      </x:c>
      <x:c r="C19" s="5" t="str">
        <x:v>single-label</x:v>
      </x:c>
      <x:c r="D19" s="5" t="str">
        <x:v>Select the observable result most directly supporting the main finding. Benchmark ground truth or aggregate CVE counts do not automatically establish externally traceable material.</x:v>
      </x:c>
      <x:c r="E19" s="5" t="str">
        <x:v>candidate judgment</x:v>
      </x:c>
    </x:row>
    <x:row r="20">
      <x:c r="A20" s="5" t="str">
        <x:v>principal_evidence</x:v>
      </x:c>
      <x:c r="B20" s="5" t="str">
        <x:v>principal reported evidence output</x:v>
      </x:c>
      <x:c r="C20" s="5" t="str">
        <x:v>single-label</x:v>
      </x:c>
      <x:c r="D20" s="5" t="str">
        <x:v>Select the observable result most directly supporting the main finding. Benchmark ground truth or aggregate CVE counts do not automatically establish externally traceable material.</x:v>
      </x:c>
      <x:c r="E20" s="5" t="str">
        <x:v>controlled task completion</x:v>
      </x:c>
    </x:row>
    <x:row r="21">
      <x:c r="A21" s="5" t="str">
        <x:v>principal_evidence</x:v>
      </x:c>
      <x:c r="B21" s="5" t="str">
        <x:v>principal reported evidence output</x:v>
      </x:c>
      <x:c r="C21" s="5" t="str">
        <x:v>single-label</x:v>
      </x:c>
      <x:c r="D21" s="5" t="str">
        <x:v>Select the observable result most directly supporting the main finding. Benchmark ground truth or aggregate CVE counts do not automatically establish externally traceable material.</x:v>
      </x:c>
      <x:c r="E21" s="5" t="str">
        <x:v>runtime safety signal</x:v>
      </x:c>
    </x:row>
    <x:row r="22">
      <x:c r="A22" s="5" t="str">
        <x:v>principal_evidence</x:v>
      </x:c>
      <x:c r="B22" s="5" t="str">
        <x:v>principal reported evidence output</x:v>
      </x:c>
      <x:c r="C22" s="5" t="str">
        <x:v>single-label</x:v>
      </x:c>
      <x:c r="D22" s="5" t="str">
        <x:v>Select the observable result most directly supporting the main finding. Benchmark ground truth or aggregate CVE counts do not automatically establish externally traceable material.</x:v>
      </x:c>
      <x:c r="E22" s="5" t="str">
        <x:v>reproducible validation</x:v>
      </x:c>
    </x:row>
    <x:row r="23">
      <x:c r="A23" s="5" t="str">
        <x:v>principal_evidence</x:v>
      </x:c>
      <x:c r="B23" s="5" t="str">
        <x:v>principal reported evidence output</x:v>
      </x:c>
      <x:c r="C23" s="5" t="str">
        <x:v>single-label</x:v>
      </x:c>
      <x:c r="D23" s="5" t="str">
        <x:v>Select the observable result most directly supporting the main finding. Benchmark ground truth or aggregate CVE counts do not automatically establish externally traceable material.</x:v>
      </x:c>
      <x:c r="E23" s="5" t="str">
        <x:v>externally traceable material</x:v>
      </x:c>
    </x:row>
    <x:row r="24">
      <x:c r="A24" s="5" t="str">
        <x:v>external_traceability</x:v>
      </x:c>
      <x:c r="B24" s="5" t="str">
        <x:v>external traceability</x:v>
      </x:c>
      <x:c r="C24" s="5" t="str">
        <x:v>single-label</x:v>
      </x:c>
      <x:c r="D24" s="5" t="str">
        <x:v>Code separately from principal output. Only item-level alignment between a concrete system result and a specific public external record qualifies as publicly aligned external trace.</x:v>
      </x:c>
      <x:c r="E24" s="5" t="str">
        <x:v>no external trace reported</x:v>
      </x:c>
    </x:row>
    <x:row r="25">
      <x:c r="A25" s="5" t="str">
        <x:v>external_traceability</x:v>
      </x:c>
      <x:c r="B25" s="5" t="str">
        <x:v>external traceability</x:v>
      </x:c>
      <x:c r="C25" s="5" t="str">
        <x:v>single-label</x:v>
      </x:c>
      <x:c r="D25" s="5" t="str">
        <x:v>Code separately from principal output. Only item-level alignment between a concrete system result and a specific public external record qualifies as publicly aligned external trace.</x:v>
      </x:c>
      <x:c r="E25" s="5" t="str">
        <x:v>author-reported external clue</x:v>
      </x:c>
    </x:row>
    <x:row r="26">
      <x:c r="A26" s="5" t="str">
        <x:v>external_traceability</x:v>
      </x:c>
      <x:c r="B26" s="5" t="str">
        <x:v>external traceability</x:v>
      </x:c>
      <x:c r="C26" s="5" t="str">
        <x:v>single-label</x:v>
      </x:c>
      <x:c r="D26" s="5" t="str">
        <x:v>Code separately from principal output. Only item-level alignment between a concrete system result and a specific public external record qualifies as publicly aligned external trace.</x:v>
      </x:c>
      <x:c r="E26" s="5" t="str">
        <x:v>benchmark ground truth / public material</x:v>
      </x:c>
    </x:row>
    <x:row r="27">
      <x:c r="A27" s="5" t="str">
        <x:v>external_traceability</x:v>
      </x:c>
      <x:c r="B27" s="5" t="str">
        <x:v>external traceability</x:v>
      </x:c>
      <x:c r="C27" s="5" t="str">
        <x:v>single-label</x:v>
      </x:c>
      <x:c r="D27" s="5" t="str">
        <x:v>Code separately from principal output. Only item-level alignment between a concrete system result and a specific public external record qualifies as publicly aligned external trace.</x:v>
      </x:c>
      <x:c r="E27" s="5" t="str">
        <x:v>publicly aligned external trace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s>
  <x:sheetData>
    <x:row r="1">
      <x:c r="A1" s="3" t="str">
        <x:v>QC item</x:v>
      </x:c>
      <x:c r="B1" s="3" t="str">
        <x:v>Formula / status</x:v>
      </x:c>
    </x:row>
    <x:row r="2">
      <x:c r="A2" s="5" t="str">
        <x:v>Source rows</x:v>
      </x:c>
      <x:c r="B2" s="5" t="n">
        <x:v>410</x:v>
      </x:c>
    </x:row>
    <x:row r="3">
      <x:c r="A3" s="5" t="str">
        <x:v>Human rows ready</x:v>
      </x:c>
      <x:c r="B3" s="5" t="n">
        <x:f>COUNTIF('Adjudication Form'!$T$2:$T$411,"ready")</x:f>
        <x:v>410</x:v>
      </x:c>
    </x:row>
    <x:row r="4">
      <x:c r="A4" s="5" t="str">
        <x:v>Human rows pending</x:v>
      </x:c>
      <x:c r="B4" s="5" t="n">
        <x:f>COUNTIF('Adjudication Form'!$T$2:$T$411,"pending")</x:f>
        <x:v>0</x:v>
      </x:c>
    </x:row>
    <x:row r="5">
      <x:c r="A5" s="5" t="str">
        <x:v>Required return</x:v>
      </x:c>
      <x:c r="B5" s="5" t="str">
        <x:v>Filled Adjudication Form sheet with no pending rows unless explicitly unresolved</x:v>
      </x:c>
    </x:row>
    <x:row r="6">
      <x:c r="A6" s="5" t="str">
        <x:v>Original data</x:v>
      </x:c>
      <x:c r="B6" s="5" t="str">
        <x:v>Independent comparison and harmonized matrix are not modified by this package</x:v>
      </x:c>
    </x:row>
    <x:row r="7">
      <x:c r="A7" s="5" t="str">
        <x:v>Evidence policy</x:v>
      </x:c>
      <x:c r="B7" s="5" t="str">
        <x:v>Lead evidence is not a final decision; human verification is required</x:v>
      </x:c>
    </x:row>
    <x:row r="8">
      <x:c r="A8" s="5" t="str">
        <x:v>Output status</x:v>
      </x:c>
      <x:c r="B8" s="5" t="str">
        <x:v>Completed consistency adjudication on 2026-08-12: 410 ready, 0 pending, 0 unresolved</x:v>
      </x:c>
    </x:row>
  </x:sheetData>
  <x:pageMargins left="0.7" right="0.7" top="0.75" bottom="0.75" header="0.3" footer="0.3"/>
</x:worksheet>
</file>